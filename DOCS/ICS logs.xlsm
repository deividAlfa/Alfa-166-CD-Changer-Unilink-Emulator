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David\git\Alfa-166-CD-Changer-Unilink-Emulator\DOCS\"/>
    </mc:Choice>
  </mc:AlternateContent>
  <bookViews>
    <workbookView xWindow="0" yWindow="0" windowWidth="25125" windowHeight="12300" firstSheet="1" activeTab="2"/>
  </bookViews>
  <sheets>
    <sheet name="xCARLINK power-on" sheetId="1" r:id="rId1"/>
    <sheet name="xCARLINK changing" sheetId="4" r:id="rId2"/>
    <sheet name="Original power-on" sheetId="5" r:id="rId3"/>
    <sheet name="Original switch to CD" sheetId="7" r:id="rId4"/>
    <sheet name="Original Switch CD1-&gt;CD2" sheetId="10" r:id="rId5"/>
    <sheet name="Original Switch CD2-&gt;CD3 empty" sheetId="11" r:id="rId6"/>
    <sheet name="Original magazine out" sheetId="12" r:id="rId7"/>
    <sheet name="Original magazine in" sheetId="13" r:id="rId8"/>
    <sheet name="Original old" sheetId="14" r:id="rId9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929" i="14" l="1"/>
  <c r="C929" i="14"/>
  <c r="A929" i="14"/>
  <c r="E928" i="14"/>
  <c r="C928" i="14"/>
  <c r="A928" i="14"/>
  <c r="E927" i="14"/>
  <c r="C927" i="14"/>
  <c r="A927" i="14"/>
  <c r="E926" i="14"/>
  <c r="C926" i="14"/>
  <c r="A926" i="14"/>
  <c r="E925" i="14"/>
  <c r="C925" i="14"/>
  <c r="A925" i="14"/>
  <c r="E924" i="14"/>
  <c r="C924" i="14"/>
  <c r="A924" i="14"/>
  <c r="E923" i="14"/>
  <c r="C923" i="14"/>
  <c r="A923" i="14"/>
  <c r="E922" i="14"/>
  <c r="C922" i="14"/>
  <c r="A922" i="14"/>
  <c r="E921" i="14"/>
  <c r="C921" i="14"/>
  <c r="A921" i="14"/>
  <c r="E920" i="14"/>
  <c r="C920" i="14"/>
  <c r="A920" i="14"/>
  <c r="E919" i="14"/>
  <c r="C919" i="14"/>
  <c r="A919" i="14"/>
  <c r="E918" i="14"/>
  <c r="C918" i="14"/>
  <c r="A918" i="14"/>
  <c r="E917" i="14"/>
  <c r="C917" i="14"/>
  <c r="A917" i="14"/>
  <c r="E916" i="14"/>
  <c r="C916" i="14"/>
  <c r="A916" i="14"/>
  <c r="E915" i="14"/>
  <c r="C915" i="14"/>
  <c r="A915" i="14"/>
  <c r="E914" i="14"/>
  <c r="C914" i="14"/>
  <c r="A914" i="14"/>
  <c r="E913" i="14"/>
  <c r="C913" i="14"/>
  <c r="A913" i="14"/>
  <c r="E912" i="14"/>
  <c r="C912" i="14"/>
  <c r="A912" i="14"/>
  <c r="E911" i="14"/>
  <c r="C911" i="14"/>
  <c r="A911" i="14"/>
  <c r="E910" i="14"/>
  <c r="C910" i="14"/>
  <c r="A910" i="14"/>
  <c r="E909" i="14"/>
  <c r="C909" i="14"/>
  <c r="A909" i="14"/>
  <c r="E908" i="14"/>
  <c r="C908" i="14"/>
  <c r="A908" i="14"/>
  <c r="E907" i="14"/>
  <c r="C907" i="14"/>
  <c r="A907" i="14"/>
  <c r="E906" i="14"/>
  <c r="C906" i="14"/>
  <c r="A906" i="14"/>
  <c r="E905" i="14"/>
  <c r="C905" i="14"/>
  <c r="A905" i="14"/>
  <c r="E904" i="14"/>
  <c r="C904" i="14"/>
  <c r="A904" i="14"/>
  <c r="E903" i="14"/>
  <c r="C903" i="14"/>
  <c r="A903" i="14"/>
  <c r="E902" i="14"/>
  <c r="C902" i="14"/>
  <c r="A902" i="14"/>
  <c r="E901" i="14"/>
  <c r="C901" i="14"/>
  <c r="A901" i="14"/>
  <c r="E900" i="14"/>
  <c r="C900" i="14"/>
  <c r="A900" i="14"/>
  <c r="E899" i="14"/>
  <c r="C899" i="14"/>
  <c r="A899" i="14"/>
  <c r="E898" i="14"/>
  <c r="C898" i="14"/>
  <c r="A898" i="14"/>
  <c r="E897" i="14"/>
  <c r="C897" i="14"/>
  <c r="A897" i="14"/>
  <c r="E896" i="14"/>
  <c r="C896" i="14"/>
  <c r="A896" i="14"/>
  <c r="E895" i="14"/>
  <c r="C895" i="14"/>
  <c r="A895" i="14"/>
  <c r="E894" i="14"/>
  <c r="C894" i="14"/>
  <c r="A894" i="14"/>
  <c r="E893" i="14"/>
  <c r="C893" i="14"/>
  <c r="A893" i="14"/>
  <c r="E892" i="14"/>
  <c r="C892" i="14"/>
  <c r="A892" i="14"/>
  <c r="E891" i="14"/>
  <c r="C891" i="14"/>
  <c r="A891" i="14"/>
  <c r="E890" i="14"/>
  <c r="C890" i="14"/>
  <c r="A890" i="14"/>
  <c r="E889" i="14"/>
  <c r="C889" i="14"/>
  <c r="A889" i="14"/>
  <c r="E888" i="14"/>
  <c r="C888" i="14"/>
  <c r="A888" i="14"/>
  <c r="E887" i="14"/>
  <c r="C887" i="14"/>
  <c r="A887" i="14"/>
  <c r="E886" i="14"/>
  <c r="C886" i="14"/>
  <c r="A886" i="14"/>
  <c r="E885" i="14"/>
  <c r="C885" i="14"/>
  <c r="A885" i="14"/>
  <c r="E884" i="14"/>
  <c r="C884" i="14"/>
  <c r="A884" i="14"/>
  <c r="E883" i="14"/>
  <c r="C883" i="14"/>
  <c r="A883" i="14"/>
  <c r="E882" i="14"/>
  <c r="C882" i="14"/>
  <c r="A882" i="14"/>
  <c r="E881" i="14"/>
  <c r="C881" i="14"/>
  <c r="A881" i="14"/>
  <c r="E880" i="14"/>
  <c r="C880" i="14"/>
  <c r="A880" i="14"/>
  <c r="E879" i="14"/>
  <c r="C879" i="14"/>
  <c r="A879" i="14"/>
  <c r="E878" i="14"/>
  <c r="C878" i="14"/>
  <c r="A878" i="14"/>
  <c r="E877" i="14"/>
  <c r="C877" i="14"/>
  <c r="A877" i="14"/>
  <c r="E876" i="14"/>
  <c r="C876" i="14"/>
  <c r="A876" i="14"/>
  <c r="E875" i="14"/>
  <c r="C875" i="14"/>
  <c r="A875" i="14"/>
  <c r="E874" i="14"/>
  <c r="C874" i="14"/>
  <c r="A874" i="14"/>
  <c r="E873" i="14"/>
  <c r="C873" i="14"/>
  <c r="A873" i="14"/>
  <c r="E872" i="14"/>
  <c r="C872" i="14"/>
  <c r="A872" i="14"/>
  <c r="E871" i="14"/>
  <c r="C871" i="14"/>
  <c r="A871" i="14"/>
  <c r="E870" i="14"/>
  <c r="C870" i="14"/>
  <c r="A870" i="14"/>
  <c r="E869" i="14"/>
  <c r="C869" i="14"/>
  <c r="A869" i="14"/>
  <c r="E868" i="14"/>
  <c r="C868" i="14"/>
  <c r="A868" i="14"/>
  <c r="E867" i="14"/>
  <c r="C867" i="14"/>
  <c r="A867" i="14"/>
  <c r="E866" i="14"/>
  <c r="C866" i="14"/>
  <c r="A866" i="14"/>
  <c r="E865" i="14"/>
  <c r="C865" i="14"/>
  <c r="A865" i="14"/>
  <c r="E864" i="14"/>
  <c r="C864" i="14"/>
  <c r="A864" i="14"/>
  <c r="E863" i="14"/>
  <c r="C863" i="14"/>
  <c r="A863" i="14"/>
  <c r="E862" i="14"/>
  <c r="C862" i="14"/>
  <c r="A862" i="14"/>
  <c r="E861" i="14"/>
  <c r="C861" i="14"/>
  <c r="A861" i="14"/>
  <c r="E860" i="14"/>
  <c r="C860" i="14"/>
  <c r="A860" i="14"/>
  <c r="E859" i="14"/>
  <c r="C859" i="14"/>
  <c r="A859" i="14"/>
  <c r="E858" i="14"/>
  <c r="C858" i="14"/>
  <c r="A858" i="14"/>
  <c r="E857" i="14"/>
  <c r="C857" i="14"/>
  <c r="A857" i="14"/>
  <c r="E856" i="14"/>
  <c r="C856" i="14"/>
  <c r="A856" i="14"/>
  <c r="E855" i="14"/>
  <c r="C855" i="14"/>
  <c r="A855" i="14"/>
  <c r="E854" i="14"/>
  <c r="C854" i="14"/>
  <c r="A854" i="14"/>
  <c r="E853" i="14"/>
  <c r="C853" i="14"/>
  <c r="A853" i="14"/>
  <c r="E852" i="14"/>
  <c r="C852" i="14"/>
  <c r="A852" i="14"/>
  <c r="E851" i="14"/>
  <c r="C851" i="14"/>
  <c r="A851" i="14"/>
  <c r="E850" i="14"/>
  <c r="C850" i="14"/>
  <c r="A850" i="14"/>
  <c r="E849" i="14"/>
  <c r="C849" i="14"/>
  <c r="A849" i="14"/>
  <c r="E848" i="14"/>
  <c r="C848" i="14"/>
  <c r="A848" i="14"/>
  <c r="E847" i="14"/>
  <c r="C847" i="14"/>
  <c r="A847" i="14"/>
  <c r="E846" i="14"/>
  <c r="C846" i="14"/>
  <c r="A846" i="14"/>
  <c r="E845" i="14"/>
  <c r="C845" i="14"/>
  <c r="A845" i="14"/>
  <c r="E844" i="14"/>
  <c r="C844" i="14"/>
  <c r="A844" i="14"/>
  <c r="E843" i="14"/>
  <c r="C843" i="14"/>
  <c r="A843" i="14"/>
  <c r="E842" i="14"/>
  <c r="C842" i="14"/>
  <c r="A842" i="14"/>
  <c r="E841" i="14"/>
  <c r="C841" i="14"/>
  <c r="A841" i="14"/>
  <c r="E840" i="14"/>
  <c r="C840" i="14"/>
  <c r="A840" i="14"/>
  <c r="E839" i="14"/>
  <c r="C839" i="14"/>
  <c r="A839" i="14"/>
  <c r="E838" i="14"/>
  <c r="C838" i="14"/>
  <c r="A838" i="14"/>
  <c r="E837" i="14"/>
  <c r="C837" i="14"/>
  <c r="A837" i="14"/>
  <c r="E836" i="14"/>
  <c r="C836" i="14"/>
  <c r="A836" i="14"/>
  <c r="E835" i="14"/>
  <c r="C835" i="14"/>
  <c r="A835" i="14"/>
  <c r="E834" i="14"/>
  <c r="C834" i="14"/>
  <c r="A834" i="14"/>
  <c r="E833" i="14"/>
  <c r="C833" i="14"/>
  <c r="A833" i="14"/>
  <c r="E832" i="14"/>
  <c r="C832" i="14"/>
  <c r="A832" i="14"/>
  <c r="E831" i="14"/>
  <c r="C831" i="14"/>
  <c r="A831" i="14"/>
  <c r="E830" i="14"/>
  <c r="C830" i="14"/>
  <c r="A830" i="14"/>
  <c r="E829" i="14"/>
  <c r="C829" i="14"/>
  <c r="A829" i="14"/>
  <c r="E828" i="14"/>
  <c r="C828" i="14"/>
  <c r="A828" i="14"/>
  <c r="E827" i="14"/>
  <c r="C827" i="14"/>
  <c r="A827" i="14"/>
  <c r="E826" i="14"/>
  <c r="C826" i="14"/>
  <c r="A826" i="14"/>
  <c r="E825" i="14"/>
  <c r="C825" i="14"/>
  <c r="A825" i="14"/>
  <c r="E824" i="14"/>
  <c r="C824" i="14"/>
  <c r="A824" i="14"/>
  <c r="E823" i="14"/>
  <c r="C823" i="14"/>
  <c r="A823" i="14"/>
  <c r="E822" i="14"/>
  <c r="C822" i="14"/>
  <c r="A822" i="14"/>
  <c r="E821" i="14"/>
  <c r="C821" i="14"/>
  <c r="A821" i="14"/>
  <c r="E820" i="14"/>
  <c r="C820" i="14"/>
  <c r="A820" i="14"/>
  <c r="E819" i="14"/>
  <c r="C819" i="14"/>
  <c r="A819" i="14"/>
  <c r="E818" i="14"/>
  <c r="C818" i="14"/>
  <c r="A818" i="14"/>
  <c r="E817" i="14"/>
  <c r="C817" i="14"/>
  <c r="A817" i="14"/>
  <c r="E816" i="14"/>
  <c r="C816" i="14"/>
  <c r="A816" i="14"/>
  <c r="E815" i="14"/>
  <c r="C815" i="14"/>
  <c r="A815" i="14"/>
  <c r="E814" i="14"/>
  <c r="C814" i="14"/>
  <c r="A814" i="14"/>
  <c r="E813" i="14"/>
  <c r="C813" i="14"/>
  <c r="A813" i="14"/>
  <c r="E812" i="14"/>
  <c r="C812" i="14"/>
  <c r="A812" i="14"/>
  <c r="E811" i="14"/>
  <c r="C811" i="14"/>
  <c r="A811" i="14"/>
  <c r="E810" i="14"/>
  <c r="C810" i="14"/>
  <c r="A810" i="14"/>
  <c r="E809" i="14"/>
  <c r="C809" i="14"/>
  <c r="A809" i="14"/>
  <c r="E808" i="14"/>
  <c r="C808" i="14"/>
  <c r="A808" i="14"/>
  <c r="E807" i="14"/>
  <c r="C807" i="14"/>
  <c r="A807" i="14"/>
  <c r="E806" i="14"/>
  <c r="C806" i="14"/>
  <c r="A806" i="14"/>
  <c r="E805" i="14"/>
  <c r="C805" i="14"/>
  <c r="A805" i="14"/>
  <c r="E804" i="14"/>
  <c r="C804" i="14"/>
  <c r="A804" i="14"/>
  <c r="E803" i="14"/>
  <c r="C803" i="14"/>
  <c r="A803" i="14"/>
  <c r="E802" i="14"/>
  <c r="C802" i="14"/>
  <c r="A802" i="14"/>
  <c r="E801" i="14"/>
  <c r="C801" i="14"/>
  <c r="A801" i="14"/>
  <c r="E800" i="14"/>
  <c r="C800" i="14"/>
  <c r="A800" i="14"/>
  <c r="E799" i="14"/>
  <c r="C799" i="14"/>
  <c r="A799" i="14"/>
  <c r="E798" i="14"/>
  <c r="C798" i="14"/>
  <c r="A798" i="14"/>
  <c r="E797" i="14"/>
  <c r="C797" i="14"/>
  <c r="A797" i="14"/>
  <c r="E796" i="14"/>
  <c r="C796" i="14"/>
  <c r="A796" i="14"/>
  <c r="E795" i="14"/>
  <c r="C795" i="14"/>
  <c r="A795" i="14"/>
  <c r="E794" i="14"/>
  <c r="C794" i="14"/>
  <c r="A794" i="14"/>
  <c r="E793" i="14"/>
  <c r="C793" i="14"/>
  <c r="A793" i="14"/>
  <c r="E792" i="14"/>
  <c r="C792" i="14"/>
  <c r="A792" i="14"/>
  <c r="E791" i="14"/>
  <c r="C791" i="14"/>
  <c r="A791" i="14"/>
  <c r="E790" i="14"/>
  <c r="C790" i="14"/>
  <c r="A790" i="14"/>
  <c r="E789" i="14"/>
  <c r="C789" i="14"/>
  <c r="A789" i="14"/>
  <c r="E788" i="14"/>
  <c r="C788" i="14"/>
  <c r="A788" i="14"/>
  <c r="E787" i="14"/>
  <c r="C787" i="14"/>
  <c r="A787" i="14"/>
  <c r="E786" i="14"/>
  <c r="C786" i="14"/>
  <c r="A786" i="14"/>
  <c r="E785" i="14"/>
  <c r="C785" i="14"/>
  <c r="A785" i="14"/>
  <c r="E784" i="14"/>
  <c r="C784" i="14"/>
  <c r="A784" i="14"/>
  <c r="E783" i="14"/>
  <c r="C783" i="14"/>
  <c r="A783" i="14"/>
  <c r="E782" i="14"/>
  <c r="C782" i="14"/>
  <c r="A782" i="14"/>
  <c r="E781" i="14"/>
  <c r="C781" i="14"/>
  <c r="A781" i="14"/>
  <c r="E780" i="14"/>
  <c r="C780" i="14"/>
  <c r="A780" i="14"/>
  <c r="E779" i="14"/>
  <c r="C779" i="14"/>
  <c r="A779" i="14"/>
  <c r="E778" i="14"/>
  <c r="C778" i="14"/>
  <c r="A778" i="14"/>
  <c r="E777" i="14"/>
  <c r="C777" i="14"/>
  <c r="A777" i="14"/>
  <c r="E776" i="14"/>
  <c r="C776" i="14"/>
  <c r="A776" i="14"/>
  <c r="E775" i="14"/>
  <c r="C775" i="14"/>
  <c r="A775" i="14"/>
  <c r="E774" i="14"/>
  <c r="C774" i="14"/>
  <c r="A774" i="14"/>
  <c r="E773" i="14"/>
  <c r="C773" i="14"/>
  <c r="A773" i="14"/>
  <c r="E772" i="14"/>
  <c r="C772" i="14"/>
  <c r="A772" i="14"/>
  <c r="E771" i="14"/>
  <c r="C771" i="14"/>
  <c r="A771" i="14"/>
  <c r="E770" i="14"/>
  <c r="C770" i="14"/>
  <c r="A770" i="14"/>
  <c r="E769" i="14"/>
  <c r="C769" i="14"/>
  <c r="A769" i="14"/>
  <c r="E768" i="14"/>
  <c r="C768" i="14"/>
  <c r="A768" i="14"/>
  <c r="E767" i="14"/>
  <c r="C767" i="14"/>
  <c r="A767" i="14"/>
  <c r="E766" i="14"/>
  <c r="C766" i="14"/>
  <c r="A766" i="14"/>
  <c r="E765" i="14"/>
  <c r="C765" i="14"/>
  <c r="A765" i="14"/>
  <c r="E764" i="14"/>
  <c r="C764" i="14"/>
  <c r="A764" i="14"/>
  <c r="E763" i="14"/>
  <c r="C763" i="14"/>
  <c r="A763" i="14"/>
  <c r="E762" i="14"/>
  <c r="C762" i="14"/>
  <c r="A762" i="14"/>
  <c r="E761" i="14"/>
  <c r="C761" i="14"/>
  <c r="A761" i="14"/>
  <c r="E760" i="14"/>
  <c r="C760" i="14"/>
  <c r="A760" i="14"/>
  <c r="E759" i="14"/>
  <c r="C759" i="14"/>
  <c r="A759" i="14"/>
  <c r="E758" i="14"/>
  <c r="C758" i="14"/>
  <c r="A758" i="14"/>
  <c r="E757" i="14"/>
  <c r="C757" i="14"/>
  <c r="A757" i="14"/>
  <c r="E756" i="14"/>
  <c r="C756" i="14"/>
  <c r="A756" i="14"/>
  <c r="E755" i="14"/>
  <c r="C755" i="14"/>
  <c r="A755" i="14"/>
  <c r="E754" i="14"/>
  <c r="C754" i="14"/>
  <c r="A754" i="14"/>
  <c r="E753" i="14"/>
  <c r="C753" i="14"/>
  <c r="A753" i="14"/>
  <c r="E752" i="14"/>
  <c r="C752" i="14"/>
  <c r="A752" i="14"/>
  <c r="E751" i="14"/>
  <c r="C751" i="14"/>
  <c r="A751" i="14"/>
  <c r="E750" i="14"/>
  <c r="C750" i="14"/>
  <c r="A750" i="14"/>
  <c r="E749" i="14"/>
  <c r="C749" i="14"/>
  <c r="A749" i="14"/>
  <c r="E748" i="14"/>
  <c r="C748" i="14"/>
  <c r="A748" i="14"/>
  <c r="E747" i="14"/>
  <c r="C747" i="14"/>
  <c r="A747" i="14"/>
  <c r="E746" i="14"/>
  <c r="C746" i="14"/>
  <c r="A746" i="14"/>
  <c r="E745" i="14"/>
  <c r="C745" i="14"/>
  <c r="A745" i="14"/>
  <c r="E744" i="14"/>
  <c r="C744" i="14"/>
  <c r="A744" i="14"/>
  <c r="E743" i="14"/>
  <c r="C743" i="14"/>
  <c r="A743" i="14"/>
  <c r="E742" i="14"/>
  <c r="C742" i="14"/>
  <c r="A742" i="14"/>
  <c r="E741" i="14"/>
  <c r="C741" i="14"/>
  <c r="A741" i="14"/>
  <c r="E740" i="14"/>
  <c r="C740" i="14"/>
  <c r="A740" i="14"/>
  <c r="E739" i="14"/>
  <c r="C739" i="14"/>
  <c r="A739" i="14"/>
  <c r="E738" i="14"/>
  <c r="C738" i="14"/>
  <c r="A738" i="14"/>
  <c r="E737" i="14"/>
  <c r="C737" i="14"/>
  <c r="A737" i="14"/>
  <c r="E736" i="14"/>
  <c r="C736" i="14"/>
  <c r="A736" i="14"/>
  <c r="E735" i="14"/>
  <c r="C735" i="14"/>
  <c r="A735" i="14"/>
  <c r="E734" i="14"/>
  <c r="C734" i="14"/>
  <c r="A734" i="14"/>
  <c r="E733" i="14"/>
  <c r="C733" i="14"/>
  <c r="A733" i="14"/>
  <c r="E732" i="14"/>
  <c r="C732" i="14"/>
  <c r="A732" i="14"/>
  <c r="E731" i="14"/>
  <c r="C731" i="14"/>
  <c r="A731" i="14"/>
  <c r="E730" i="14"/>
  <c r="C730" i="14"/>
  <c r="A730" i="14"/>
  <c r="E729" i="14"/>
  <c r="C729" i="14"/>
  <c r="A729" i="14"/>
  <c r="E728" i="14"/>
  <c r="C728" i="14"/>
  <c r="A728" i="14"/>
  <c r="E727" i="14"/>
  <c r="C727" i="14"/>
  <c r="A727" i="14"/>
  <c r="E726" i="14"/>
  <c r="C726" i="14"/>
  <c r="A726" i="14"/>
  <c r="E725" i="14"/>
  <c r="C725" i="14"/>
  <c r="A725" i="14"/>
  <c r="E724" i="14"/>
  <c r="C724" i="14"/>
  <c r="A724" i="14"/>
  <c r="E723" i="14"/>
  <c r="C723" i="14"/>
  <c r="A723" i="14"/>
  <c r="E722" i="14"/>
  <c r="C722" i="14"/>
  <c r="A722" i="14"/>
  <c r="E721" i="14"/>
  <c r="C721" i="14"/>
  <c r="A721" i="14"/>
  <c r="E720" i="14"/>
  <c r="C720" i="14"/>
  <c r="A720" i="14"/>
  <c r="E719" i="14"/>
  <c r="C719" i="14"/>
  <c r="A719" i="14"/>
  <c r="E718" i="14"/>
  <c r="C718" i="14"/>
  <c r="A718" i="14"/>
  <c r="E717" i="14"/>
  <c r="C717" i="14"/>
  <c r="A717" i="14"/>
  <c r="E716" i="14"/>
  <c r="C716" i="14"/>
  <c r="A716" i="14"/>
  <c r="E715" i="14"/>
  <c r="C715" i="14"/>
  <c r="A715" i="14"/>
  <c r="E714" i="14"/>
  <c r="C714" i="14"/>
  <c r="A714" i="14"/>
  <c r="E713" i="14"/>
  <c r="C713" i="14"/>
  <c r="A713" i="14"/>
  <c r="E712" i="14"/>
  <c r="C712" i="14"/>
  <c r="A712" i="14"/>
  <c r="E711" i="14"/>
  <c r="C711" i="14"/>
  <c r="A711" i="14"/>
  <c r="E710" i="14"/>
  <c r="C710" i="14"/>
  <c r="A710" i="14"/>
  <c r="E709" i="14"/>
  <c r="C709" i="14"/>
  <c r="A709" i="14"/>
  <c r="E708" i="14"/>
  <c r="C708" i="14"/>
  <c r="A708" i="14"/>
  <c r="E707" i="14"/>
  <c r="C707" i="14"/>
  <c r="A707" i="14"/>
  <c r="E706" i="14"/>
  <c r="C706" i="14"/>
  <c r="A706" i="14"/>
  <c r="E705" i="14"/>
  <c r="C705" i="14"/>
  <c r="A705" i="14"/>
  <c r="E704" i="14"/>
  <c r="C704" i="14"/>
  <c r="A704" i="14"/>
  <c r="E703" i="14"/>
  <c r="C703" i="14"/>
  <c r="A703" i="14"/>
  <c r="E702" i="14"/>
  <c r="C702" i="14"/>
  <c r="A702" i="14"/>
  <c r="E701" i="14"/>
  <c r="C701" i="14"/>
  <c r="A701" i="14"/>
  <c r="E700" i="14"/>
  <c r="C700" i="14"/>
  <c r="A700" i="14"/>
  <c r="E699" i="14"/>
  <c r="C699" i="14"/>
  <c r="A699" i="14"/>
  <c r="E698" i="14"/>
  <c r="C698" i="14"/>
  <c r="A698" i="14"/>
  <c r="E697" i="14"/>
  <c r="C697" i="14"/>
  <c r="A697" i="14"/>
  <c r="E696" i="14"/>
  <c r="C696" i="14"/>
  <c r="A696" i="14"/>
  <c r="E695" i="14"/>
  <c r="C695" i="14"/>
  <c r="A695" i="14"/>
  <c r="E694" i="14"/>
  <c r="C694" i="14"/>
  <c r="A694" i="14"/>
  <c r="E693" i="14"/>
  <c r="C693" i="14"/>
  <c r="A693" i="14"/>
  <c r="E692" i="14"/>
  <c r="C692" i="14"/>
  <c r="A692" i="14"/>
  <c r="E691" i="14"/>
  <c r="C691" i="14"/>
  <c r="A691" i="14"/>
  <c r="E690" i="14"/>
  <c r="C690" i="14"/>
  <c r="A690" i="14"/>
  <c r="E689" i="14"/>
  <c r="C689" i="14"/>
  <c r="A689" i="14"/>
  <c r="E688" i="14"/>
  <c r="C688" i="14"/>
  <c r="A688" i="14"/>
  <c r="E687" i="14"/>
  <c r="C687" i="14"/>
  <c r="A687" i="14"/>
  <c r="E686" i="14"/>
  <c r="C686" i="14"/>
  <c r="A686" i="14"/>
  <c r="E685" i="14"/>
  <c r="C685" i="14"/>
  <c r="A685" i="14"/>
  <c r="E684" i="14"/>
  <c r="C684" i="14"/>
  <c r="A684" i="14"/>
  <c r="E683" i="14"/>
  <c r="C683" i="14"/>
  <c r="A683" i="14"/>
  <c r="E682" i="14"/>
  <c r="C682" i="14"/>
  <c r="A682" i="14"/>
  <c r="E681" i="14"/>
  <c r="C681" i="14"/>
  <c r="A681" i="14"/>
  <c r="E680" i="14"/>
  <c r="C680" i="14"/>
  <c r="A680" i="14"/>
  <c r="E679" i="14"/>
  <c r="C679" i="14"/>
  <c r="A679" i="14"/>
  <c r="E678" i="14"/>
  <c r="C678" i="14"/>
  <c r="A678" i="14"/>
  <c r="E677" i="14"/>
  <c r="C677" i="14"/>
  <c r="A677" i="14"/>
  <c r="E676" i="14"/>
  <c r="C676" i="14"/>
  <c r="A676" i="14"/>
  <c r="E675" i="14"/>
  <c r="C675" i="14"/>
  <c r="A675" i="14"/>
  <c r="E674" i="14"/>
  <c r="C674" i="14"/>
  <c r="A674" i="14"/>
  <c r="E673" i="14"/>
  <c r="C673" i="14"/>
  <c r="A673" i="14"/>
  <c r="E672" i="14"/>
  <c r="C672" i="14"/>
  <c r="A672" i="14"/>
  <c r="E671" i="14"/>
  <c r="C671" i="14"/>
  <c r="A671" i="14"/>
  <c r="E670" i="14"/>
  <c r="C670" i="14"/>
  <c r="A670" i="14"/>
  <c r="E669" i="14"/>
  <c r="C669" i="14"/>
  <c r="A669" i="14"/>
  <c r="E668" i="14"/>
  <c r="C668" i="14"/>
  <c r="A668" i="14"/>
  <c r="E667" i="14"/>
  <c r="C667" i="14"/>
  <c r="A667" i="14"/>
  <c r="E666" i="14"/>
  <c r="C666" i="14"/>
  <c r="A666" i="14"/>
  <c r="E665" i="14"/>
  <c r="C665" i="14"/>
  <c r="A665" i="14"/>
  <c r="E664" i="14"/>
  <c r="C664" i="14"/>
  <c r="A664" i="14"/>
  <c r="E663" i="14"/>
  <c r="C663" i="14"/>
  <c r="A663" i="14"/>
  <c r="E662" i="14"/>
  <c r="C662" i="14"/>
  <c r="A662" i="14"/>
  <c r="E661" i="14"/>
  <c r="C661" i="14"/>
  <c r="A661" i="14"/>
  <c r="E660" i="14"/>
  <c r="C660" i="14"/>
  <c r="A660" i="14"/>
  <c r="E659" i="14"/>
  <c r="C659" i="14"/>
  <c r="A659" i="14"/>
  <c r="E658" i="14"/>
  <c r="C658" i="14"/>
  <c r="A658" i="14"/>
  <c r="E657" i="14"/>
  <c r="C657" i="14"/>
  <c r="A657" i="14"/>
  <c r="E656" i="14"/>
  <c r="C656" i="14"/>
  <c r="A656" i="14"/>
  <c r="E655" i="14"/>
  <c r="C655" i="14"/>
  <c r="A655" i="14"/>
  <c r="E654" i="14"/>
  <c r="C654" i="14"/>
  <c r="A654" i="14"/>
  <c r="E653" i="14"/>
  <c r="C653" i="14"/>
  <c r="A653" i="14"/>
  <c r="E652" i="14"/>
  <c r="C652" i="14"/>
  <c r="A652" i="14"/>
  <c r="E651" i="14"/>
  <c r="C651" i="14"/>
  <c r="A651" i="14"/>
  <c r="E650" i="14"/>
  <c r="C650" i="14"/>
  <c r="A650" i="14"/>
  <c r="E649" i="14"/>
  <c r="C649" i="14"/>
  <c r="A649" i="14"/>
  <c r="E648" i="14"/>
  <c r="C648" i="14"/>
  <c r="A648" i="14"/>
  <c r="E647" i="14"/>
  <c r="C647" i="14"/>
  <c r="A647" i="14"/>
  <c r="E646" i="14"/>
  <c r="C646" i="14"/>
  <c r="A646" i="14"/>
  <c r="E645" i="14"/>
  <c r="C645" i="14"/>
  <c r="A645" i="14"/>
  <c r="E644" i="14"/>
  <c r="C644" i="14"/>
  <c r="A644" i="14"/>
  <c r="E643" i="14"/>
  <c r="C643" i="14"/>
  <c r="A643" i="14"/>
  <c r="E642" i="14"/>
  <c r="C642" i="14"/>
  <c r="A642" i="14"/>
  <c r="E641" i="14"/>
  <c r="C641" i="14"/>
  <c r="A641" i="14"/>
  <c r="E640" i="14"/>
  <c r="C640" i="14"/>
  <c r="A640" i="14"/>
  <c r="E639" i="14"/>
  <c r="C639" i="14"/>
  <c r="A639" i="14"/>
  <c r="E638" i="14"/>
  <c r="C638" i="14"/>
  <c r="A638" i="14"/>
  <c r="E637" i="14"/>
  <c r="C637" i="14"/>
  <c r="A637" i="14"/>
  <c r="E636" i="14"/>
  <c r="C636" i="14"/>
  <c r="A636" i="14"/>
  <c r="E635" i="14"/>
  <c r="C635" i="14"/>
  <c r="A635" i="14"/>
  <c r="E634" i="14"/>
  <c r="C634" i="14"/>
  <c r="A634" i="14"/>
  <c r="E633" i="14"/>
  <c r="C633" i="14"/>
  <c r="A633" i="14"/>
  <c r="E632" i="14"/>
  <c r="C632" i="14"/>
  <c r="A632" i="14"/>
  <c r="E631" i="14"/>
  <c r="C631" i="14"/>
  <c r="A631" i="14"/>
  <c r="E630" i="14"/>
  <c r="C630" i="14"/>
  <c r="A630" i="14"/>
  <c r="E629" i="14"/>
  <c r="C629" i="14"/>
  <c r="A629" i="14"/>
  <c r="E628" i="14"/>
  <c r="C628" i="14"/>
  <c r="A628" i="14"/>
  <c r="E627" i="14"/>
  <c r="C627" i="14"/>
  <c r="A627" i="14"/>
  <c r="E626" i="14"/>
  <c r="C626" i="14"/>
  <c r="A626" i="14"/>
  <c r="E625" i="14"/>
  <c r="C625" i="14"/>
  <c r="A625" i="14"/>
  <c r="E624" i="14"/>
  <c r="C624" i="14"/>
  <c r="A624" i="14"/>
  <c r="E623" i="14"/>
  <c r="C623" i="14"/>
  <c r="A623" i="14"/>
  <c r="E622" i="14"/>
  <c r="C622" i="14"/>
  <c r="A622" i="14"/>
  <c r="E621" i="14"/>
  <c r="C621" i="14"/>
  <c r="A621" i="14"/>
  <c r="E620" i="14"/>
  <c r="C620" i="14"/>
  <c r="A620" i="14"/>
  <c r="E619" i="14"/>
  <c r="C619" i="14"/>
  <c r="A619" i="14"/>
  <c r="E618" i="14"/>
  <c r="C618" i="14"/>
  <c r="A618" i="14"/>
  <c r="E617" i="14"/>
  <c r="C617" i="14"/>
  <c r="A617" i="14"/>
  <c r="E616" i="14"/>
  <c r="C616" i="14"/>
  <c r="A616" i="14"/>
  <c r="E615" i="14"/>
  <c r="C615" i="14"/>
  <c r="A615" i="14"/>
  <c r="E614" i="14"/>
  <c r="C614" i="14"/>
  <c r="A614" i="14"/>
  <c r="E613" i="14"/>
  <c r="C613" i="14"/>
  <c r="A613" i="14"/>
  <c r="E612" i="14"/>
  <c r="C612" i="14"/>
  <c r="A612" i="14"/>
  <c r="E611" i="14"/>
  <c r="C611" i="14"/>
  <c r="A611" i="14"/>
  <c r="E610" i="14"/>
  <c r="C610" i="14"/>
  <c r="A610" i="14"/>
  <c r="E609" i="14"/>
  <c r="C609" i="14"/>
  <c r="A609" i="14"/>
  <c r="E608" i="14"/>
  <c r="C608" i="14"/>
  <c r="A608" i="14"/>
  <c r="E607" i="14"/>
  <c r="C607" i="14"/>
  <c r="A607" i="14"/>
  <c r="E606" i="14"/>
  <c r="C606" i="14"/>
  <c r="A606" i="14"/>
  <c r="E605" i="14"/>
  <c r="C605" i="14"/>
  <c r="A605" i="14"/>
  <c r="E604" i="14"/>
  <c r="C604" i="14"/>
  <c r="A604" i="14"/>
  <c r="E603" i="14"/>
  <c r="C603" i="14"/>
  <c r="A603" i="14"/>
  <c r="E602" i="14"/>
  <c r="C602" i="14"/>
  <c r="A602" i="14"/>
  <c r="E601" i="14"/>
  <c r="C601" i="14"/>
  <c r="A601" i="14"/>
  <c r="E600" i="14"/>
  <c r="C600" i="14"/>
  <c r="A600" i="14"/>
  <c r="E599" i="14"/>
  <c r="C599" i="14"/>
  <c r="A599" i="14"/>
  <c r="E598" i="14"/>
  <c r="C598" i="14"/>
  <c r="A598" i="14"/>
  <c r="E597" i="14"/>
  <c r="C597" i="14"/>
  <c r="A597" i="14"/>
  <c r="E596" i="14"/>
  <c r="C596" i="14"/>
  <c r="A596" i="14"/>
  <c r="E595" i="14"/>
  <c r="C595" i="14"/>
  <c r="A595" i="14"/>
  <c r="E594" i="14"/>
  <c r="C594" i="14"/>
  <c r="A594" i="14"/>
  <c r="E593" i="14"/>
  <c r="C593" i="14"/>
  <c r="A593" i="14"/>
  <c r="E592" i="14"/>
  <c r="C592" i="14"/>
  <c r="A592" i="14"/>
  <c r="E591" i="14"/>
  <c r="C591" i="14"/>
  <c r="A591" i="14"/>
  <c r="E590" i="14"/>
  <c r="C590" i="14"/>
  <c r="A590" i="14"/>
  <c r="E589" i="14"/>
  <c r="C589" i="14"/>
  <c r="A589" i="14"/>
  <c r="E588" i="14"/>
  <c r="C588" i="14"/>
  <c r="A588" i="14"/>
  <c r="E587" i="14"/>
  <c r="C587" i="14"/>
  <c r="A587" i="14"/>
  <c r="E586" i="14"/>
  <c r="C586" i="14"/>
  <c r="A586" i="14"/>
  <c r="E585" i="14"/>
  <c r="C585" i="14"/>
  <c r="A585" i="14"/>
  <c r="E584" i="14"/>
  <c r="C584" i="14"/>
  <c r="A584" i="14"/>
  <c r="E583" i="14"/>
  <c r="C583" i="14"/>
  <c r="A583" i="14"/>
  <c r="E582" i="14"/>
  <c r="C582" i="14"/>
  <c r="A582" i="14"/>
  <c r="E581" i="14"/>
  <c r="C581" i="14"/>
  <c r="A581" i="14"/>
  <c r="E580" i="14"/>
  <c r="C580" i="14"/>
  <c r="A580" i="14"/>
  <c r="E579" i="14"/>
  <c r="C579" i="14"/>
  <c r="A579" i="14"/>
  <c r="E578" i="14"/>
  <c r="C578" i="14"/>
  <c r="A578" i="14"/>
  <c r="E577" i="14"/>
  <c r="C577" i="14"/>
  <c r="A577" i="14"/>
  <c r="E576" i="14"/>
  <c r="C576" i="14"/>
  <c r="A576" i="14"/>
  <c r="E575" i="14"/>
  <c r="C575" i="14"/>
  <c r="A575" i="14"/>
  <c r="E574" i="14"/>
  <c r="C574" i="14"/>
  <c r="A574" i="14"/>
  <c r="E573" i="14"/>
  <c r="C573" i="14"/>
  <c r="A573" i="14"/>
  <c r="E572" i="14"/>
  <c r="C572" i="14"/>
  <c r="A572" i="14"/>
  <c r="E571" i="14"/>
  <c r="C571" i="14"/>
  <c r="A571" i="14"/>
  <c r="E570" i="14"/>
  <c r="C570" i="14"/>
  <c r="A570" i="14"/>
  <c r="E569" i="14"/>
  <c r="C569" i="14"/>
  <c r="A569" i="14"/>
  <c r="E568" i="14"/>
  <c r="C568" i="14"/>
  <c r="A568" i="14"/>
  <c r="E567" i="14"/>
  <c r="C567" i="14"/>
  <c r="A567" i="14"/>
  <c r="E566" i="14"/>
  <c r="C566" i="14"/>
  <c r="A566" i="14"/>
  <c r="E565" i="14"/>
  <c r="C565" i="14"/>
  <c r="A565" i="14"/>
  <c r="E564" i="14"/>
  <c r="C564" i="14"/>
  <c r="A564" i="14"/>
  <c r="E563" i="14"/>
  <c r="C563" i="14"/>
  <c r="A563" i="14"/>
  <c r="E562" i="14"/>
  <c r="C562" i="14"/>
  <c r="A562" i="14"/>
  <c r="E561" i="14"/>
  <c r="C561" i="14"/>
  <c r="A561" i="14"/>
  <c r="E560" i="14"/>
  <c r="C560" i="14"/>
  <c r="A560" i="14"/>
  <c r="E559" i="14"/>
  <c r="C559" i="14"/>
  <c r="A559" i="14"/>
  <c r="E558" i="14"/>
  <c r="C558" i="14"/>
  <c r="A558" i="14"/>
  <c r="E557" i="14"/>
  <c r="C557" i="14"/>
  <c r="A557" i="14"/>
  <c r="E556" i="14"/>
  <c r="C556" i="14"/>
  <c r="A556" i="14"/>
  <c r="E555" i="14"/>
  <c r="C555" i="14"/>
  <c r="A555" i="14"/>
  <c r="E554" i="14"/>
  <c r="C554" i="14"/>
  <c r="A554" i="14"/>
  <c r="E553" i="14"/>
  <c r="C553" i="14"/>
  <c r="A553" i="14"/>
  <c r="E552" i="14"/>
  <c r="C552" i="14"/>
  <c r="A552" i="14"/>
  <c r="E551" i="14"/>
  <c r="C551" i="14"/>
  <c r="A551" i="14"/>
  <c r="E550" i="14"/>
  <c r="C550" i="14"/>
  <c r="A550" i="14"/>
  <c r="E549" i="14"/>
  <c r="C549" i="14"/>
  <c r="A549" i="14"/>
  <c r="E548" i="14"/>
  <c r="C548" i="14"/>
  <c r="A548" i="14"/>
  <c r="E547" i="14"/>
  <c r="C547" i="14"/>
  <c r="A547" i="14"/>
  <c r="E546" i="14"/>
  <c r="C546" i="14"/>
  <c r="A546" i="14"/>
  <c r="E545" i="14"/>
  <c r="C545" i="14"/>
  <c r="A545" i="14"/>
  <c r="E544" i="14"/>
  <c r="C544" i="14"/>
  <c r="A544" i="14"/>
  <c r="E543" i="14"/>
  <c r="C543" i="14"/>
  <c r="A543" i="14"/>
  <c r="E542" i="14"/>
  <c r="C542" i="14"/>
  <c r="A542" i="14"/>
  <c r="E541" i="14"/>
  <c r="C541" i="14"/>
  <c r="A541" i="14"/>
  <c r="E540" i="14"/>
  <c r="C540" i="14"/>
  <c r="A540" i="14"/>
  <c r="E539" i="14"/>
  <c r="C539" i="14"/>
  <c r="A539" i="14"/>
  <c r="E538" i="14"/>
  <c r="C538" i="14"/>
  <c r="A538" i="14"/>
  <c r="E537" i="14"/>
  <c r="C537" i="14"/>
  <c r="A537" i="14"/>
  <c r="E536" i="14"/>
  <c r="C536" i="14"/>
  <c r="A536" i="14"/>
  <c r="E535" i="14"/>
  <c r="C535" i="14"/>
  <c r="A535" i="14"/>
  <c r="E534" i="14"/>
  <c r="C534" i="14"/>
  <c r="A534" i="14"/>
  <c r="E533" i="14"/>
  <c r="C533" i="14"/>
  <c r="A533" i="14"/>
  <c r="E532" i="14"/>
  <c r="C532" i="14"/>
  <c r="A532" i="14"/>
  <c r="E531" i="14"/>
  <c r="C531" i="14"/>
  <c r="A531" i="14"/>
  <c r="E530" i="14"/>
  <c r="C530" i="14"/>
  <c r="A530" i="14"/>
  <c r="E529" i="14"/>
  <c r="C529" i="14"/>
  <c r="A529" i="14"/>
  <c r="E528" i="14"/>
  <c r="C528" i="14"/>
  <c r="A528" i="14"/>
  <c r="E527" i="14"/>
  <c r="C527" i="14"/>
  <c r="A527" i="14"/>
  <c r="E526" i="14"/>
  <c r="C526" i="14"/>
  <c r="A526" i="14"/>
  <c r="E525" i="14"/>
  <c r="C525" i="14"/>
  <c r="A525" i="14"/>
  <c r="E524" i="14"/>
  <c r="C524" i="14"/>
  <c r="A524" i="14"/>
  <c r="E523" i="14"/>
  <c r="C523" i="14"/>
  <c r="A523" i="14"/>
  <c r="E522" i="14"/>
  <c r="C522" i="14"/>
  <c r="A522" i="14"/>
  <c r="E521" i="14"/>
  <c r="C521" i="14"/>
  <c r="A521" i="14"/>
  <c r="E520" i="14"/>
  <c r="C520" i="14"/>
  <c r="A520" i="14"/>
  <c r="E519" i="14"/>
  <c r="C519" i="14"/>
  <c r="A519" i="14"/>
  <c r="E518" i="14"/>
  <c r="C518" i="14"/>
  <c r="A518" i="14"/>
  <c r="E517" i="14"/>
  <c r="C517" i="14"/>
  <c r="A517" i="14"/>
  <c r="E516" i="14"/>
  <c r="C516" i="14"/>
  <c r="A516" i="14"/>
  <c r="E515" i="14"/>
  <c r="C515" i="14"/>
  <c r="A515" i="14"/>
  <c r="E514" i="14"/>
  <c r="C514" i="14"/>
  <c r="A514" i="14"/>
  <c r="E513" i="14"/>
  <c r="C513" i="14"/>
  <c r="A513" i="14"/>
  <c r="E512" i="14"/>
  <c r="C512" i="14"/>
  <c r="A512" i="14"/>
  <c r="E511" i="14"/>
  <c r="C511" i="14"/>
  <c r="A511" i="14"/>
  <c r="E510" i="14"/>
  <c r="C510" i="14"/>
  <c r="A510" i="14"/>
  <c r="E509" i="14"/>
  <c r="C509" i="14"/>
  <c r="A509" i="14"/>
  <c r="E508" i="14"/>
  <c r="C508" i="14"/>
  <c r="A508" i="14"/>
  <c r="E507" i="14"/>
  <c r="C507" i="14"/>
  <c r="A507" i="14"/>
  <c r="E506" i="14"/>
  <c r="C506" i="14"/>
  <c r="A506" i="14"/>
  <c r="E505" i="14"/>
  <c r="C505" i="14"/>
  <c r="A505" i="14"/>
  <c r="E504" i="14"/>
  <c r="C504" i="14"/>
  <c r="A504" i="14"/>
  <c r="E503" i="14"/>
  <c r="C503" i="14"/>
  <c r="A503" i="14"/>
  <c r="E502" i="14"/>
  <c r="C502" i="14"/>
  <c r="A502" i="14"/>
  <c r="E501" i="14"/>
  <c r="C501" i="14"/>
  <c r="A501" i="14"/>
  <c r="E500" i="14"/>
  <c r="C500" i="14"/>
  <c r="A500" i="14"/>
  <c r="E499" i="14"/>
  <c r="C499" i="14"/>
  <c r="A499" i="14"/>
  <c r="E498" i="14"/>
  <c r="C498" i="14"/>
  <c r="A498" i="14"/>
  <c r="E497" i="14"/>
  <c r="C497" i="14"/>
  <c r="A497" i="14"/>
  <c r="E496" i="14"/>
  <c r="C496" i="14"/>
  <c r="A496" i="14"/>
  <c r="E495" i="14"/>
  <c r="C495" i="14"/>
  <c r="A495" i="14"/>
  <c r="E494" i="14"/>
  <c r="C494" i="14"/>
  <c r="A494" i="14"/>
  <c r="E493" i="14"/>
  <c r="C493" i="14"/>
  <c r="A493" i="14"/>
  <c r="E492" i="14"/>
  <c r="C492" i="14"/>
  <c r="A492" i="14"/>
  <c r="E491" i="14"/>
  <c r="C491" i="14"/>
  <c r="A491" i="14"/>
  <c r="E490" i="14"/>
  <c r="C490" i="14"/>
  <c r="A490" i="14"/>
  <c r="E489" i="14"/>
  <c r="C489" i="14"/>
  <c r="A489" i="14"/>
  <c r="E488" i="14"/>
  <c r="C488" i="14"/>
  <c r="A488" i="14"/>
  <c r="E487" i="14"/>
  <c r="C487" i="14"/>
  <c r="A487" i="14"/>
  <c r="E486" i="14"/>
  <c r="C486" i="14"/>
  <c r="A486" i="14"/>
  <c r="E485" i="14"/>
  <c r="C485" i="14"/>
  <c r="A485" i="14"/>
  <c r="E484" i="14"/>
  <c r="C484" i="14"/>
  <c r="A484" i="14"/>
  <c r="E483" i="14"/>
  <c r="C483" i="14"/>
  <c r="A483" i="14"/>
  <c r="E482" i="14"/>
  <c r="C482" i="14"/>
  <c r="A482" i="14"/>
  <c r="E481" i="14"/>
  <c r="C481" i="14"/>
  <c r="A481" i="14"/>
  <c r="E480" i="14"/>
  <c r="C480" i="14"/>
  <c r="A480" i="14"/>
  <c r="E479" i="14"/>
  <c r="C479" i="14"/>
  <c r="A479" i="14"/>
  <c r="E478" i="14"/>
  <c r="C478" i="14"/>
  <c r="A478" i="14"/>
  <c r="E477" i="14"/>
  <c r="C477" i="14"/>
  <c r="A477" i="14"/>
  <c r="E476" i="14"/>
  <c r="C476" i="14"/>
  <c r="A476" i="14"/>
  <c r="E475" i="14"/>
  <c r="C475" i="14"/>
  <c r="A475" i="14"/>
  <c r="E474" i="14"/>
  <c r="C474" i="14"/>
  <c r="A474" i="14"/>
  <c r="E473" i="14"/>
  <c r="C473" i="14"/>
  <c r="A473" i="14"/>
  <c r="E472" i="14"/>
  <c r="C472" i="14"/>
  <c r="A472" i="14"/>
  <c r="E471" i="14"/>
  <c r="C471" i="14"/>
  <c r="A471" i="14"/>
  <c r="E470" i="14"/>
  <c r="C470" i="14"/>
  <c r="A470" i="14"/>
  <c r="E469" i="14"/>
  <c r="C469" i="14"/>
  <c r="A469" i="14"/>
  <c r="E468" i="14"/>
  <c r="C468" i="14"/>
  <c r="A468" i="14"/>
  <c r="E467" i="14"/>
  <c r="C467" i="14"/>
  <c r="A467" i="14"/>
  <c r="E466" i="14"/>
  <c r="C466" i="14"/>
  <c r="A466" i="14"/>
  <c r="E465" i="14"/>
  <c r="C465" i="14"/>
  <c r="A465" i="14"/>
  <c r="E464" i="14"/>
  <c r="C464" i="14"/>
  <c r="A464" i="14"/>
  <c r="E463" i="14"/>
  <c r="C463" i="14"/>
  <c r="A463" i="14"/>
  <c r="E462" i="14"/>
  <c r="C462" i="14"/>
  <c r="A462" i="14"/>
  <c r="E461" i="14"/>
  <c r="C461" i="14"/>
  <c r="A461" i="14"/>
  <c r="E460" i="14"/>
  <c r="C460" i="14"/>
  <c r="A460" i="14"/>
  <c r="E459" i="14"/>
  <c r="C459" i="14"/>
  <c r="A459" i="14"/>
  <c r="E458" i="14"/>
  <c r="C458" i="14"/>
  <c r="A458" i="14"/>
  <c r="E457" i="14"/>
  <c r="C457" i="14"/>
  <c r="A457" i="14"/>
  <c r="E456" i="14"/>
  <c r="C456" i="14"/>
  <c r="A456" i="14"/>
  <c r="E455" i="14"/>
  <c r="C455" i="14"/>
  <c r="A455" i="14"/>
  <c r="E454" i="14"/>
  <c r="C454" i="14"/>
  <c r="A454" i="14"/>
  <c r="E453" i="14"/>
  <c r="C453" i="14"/>
  <c r="A453" i="14"/>
  <c r="E452" i="14"/>
  <c r="C452" i="14"/>
  <c r="A452" i="14"/>
  <c r="E451" i="14"/>
  <c r="C451" i="14"/>
  <c r="A451" i="14"/>
  <c r="E450" i="14"/>
  <c r="C450" i="14"/>
  <c r="A450" i="14"/>
  <c r="E449" i="14"/>
  <c r="C449" i="14"/>
  <c r="A449" i="14"/>
  <c r="E448" i="14"/>
  <c r="C448" i="14"/>
  <c r="A448" i="14"/>
  <c r="E447" i="14"/>
  <c r="C447" i="14"/>
  <c r="A447" i="14"/>
  <c r="E446" i="14"/>
  <c r="C446" i="14"/>
  <c r="A446" i="14"/>
  <c r="E445" i="14"/>
  <c r="C445" i="14"/>
  <c r="A445" i="14"/>
  <c r="E444" i="14"/>
  <c r="C444" i="14"/>
  <c r="A444" i="14"/>
  <c r="E443" i="14"/>
  <c r="C443" i="14"/>
  <c r="A443" i="14"/>
  <c r="E442" i="14"/>
  <c r="C442" i="14"/>
  <c r="A442" i="14"/>
  <c r="E441" i="14"/>
  <c r="C441" i="14"/>
  <c r="A441" i="14"/>
  <c r="E440" i="14"/>
  <c r="C440" i="14"/>
  <c r="A440" i="14"/>
  <c r="E439" i="14"/>
  <c r="C439" i="14"/>
  <c r="A439" i="14"/>
  <c r="E438" i="14"/>
  <c r="C438" i="14"/>
  <c r="A438" i="14"/>
  <c r="E437" i="14"/>
  <c r="C437" i="14"/>
  <c r="A437" i="14"/>
  <c r="E436" i="14"/>
  <c r="C436" i="14"/>
  <c r="A436" i="14"/>
  <c r="E435" i="14"/>
  <c r="C435" i="14"/>
  <c r="A435" i="14"/>
  <c r="E434" i="14"/>
  <c r="C434" i="14"/>
  <c r="A434" i="14"/>
  <c r="E433" i="14"/>
  <c r="C433" i="14"/>
  <c r="A433" i="14"/>
  <c r="E432" i="14"/>
  <c r="C432" i="14"/>
  <c r="A432" i="14"/>
  <c r="E431" i="14"/>
  <c r="C431" i="14"/>
  <c r="A431" i="14"/>
  <c r="E430" i="14"/>
  <c r="C430" i="14"/>
  <c r="A430" i="14"/>
  <c r="E429" i="14"/>
  <c r="C429" i="14"/>
  <c r="A429" i="14"/>
  <c r="E428" i="14"/>
  <c r="C428" i="14"/>
  <c r="A428" i="14"/>
  <c r="E427" i="14"/>
  <c r="C427" i="14"/>
  <c r="A427" i="14"/>
  <c r="E426" i="14"/>
  <c r="C426" i="14"/>
  <c r="A426" i="14"/>
  <c r="E425" i="14"/>
  <c r="C425" i="14"/>
  <c r="A425" i="14"/>
  <c r="E424" i="14"/>
  <c r="C424" i="14"/>
  <c r="A424" i="14"/>
  <c r="E423" i="14"/>
  <c r="C423" i="14"/>
  <c r="A423" i="14"/>
  <c r="E422" i="14"/>
  <c r="C422" i="14"/>
  <c r="A422" i="14"/>
  <c r="E421" i="14"/>
  <c r="C421" i="14"/>
  <c r="A421" i="14"/>
  <c r="E420" i="14"/>
  <c r="C420" i="14"/>
  <c r="A420" i="14"/>
  <c r="E419" i="14"/>
  <c r="C419" i="14"/>
  <c r="A419" i="14"/>
  <c r="E418" i="14"/>
  <c r="C418" i="14"/>
  <c r="A418" i="14"/>
  <c r="E417" i="14"/>
  <c r="C417" i="14"/>
  <c r="A417" i="14"/>
  <c r="E416" i="14"/>
  <c r="C416" i="14"/>
  <c r="A416" i="14"/>
  <c r="E415" i="14"/>
  <c r="C415" i="14"/>
  <c r="A415" i="14"/>
  <c r="E414" i="14"/>
  <c r="C414" i="14"/>
  <c r="A414" i="14"/>
  <c r="E413" i="14"/>
  <c r="C413" i="14"/>
  <c r="A413" i="14"/>
  <c r="E412" i="14"/>
  <c r="C412" i="14"/>
  <c r="A412" i="14"/>
  <c r="E411" i="14"/>
  <c r="C411" i="14"/>
  <c r="A411" i="14"/>
  <c r="E410" i="14"/>
  <c r="C410" i="14"/>
  <c r="A410" i="14"/>
  <c r="E409" i="14"/>
  <c r="C409" i="14"/>
  <c r="A409" i="14"/>
  <c r="E408" i="14"/>
  <c r="C408" i="14"/>
  <c r="A408" i="14"/>
  <c r="E407" i="14"/>
  <c r="C407" i="14"/>
  <c r="A407" i="14"/>
  <c r="E406" i="14"/>
  <c r="C406" i="14"/>
  <c r="A406" i="14"/>
  <c r="E405" i="14"/>
  <c r="C405" i="14"/>
  <c r="A405" i="14"/>
  <c r="E404" i="14"/>
  <c r="C404" i="14"/>
  <c r="A404" i="14"/>
  <c r="E403" i="14"/>
  <c r="C403" i="14"/>
  <c r="A403" i="14"/>
  <c r="E402" i="14"/>
  <c r="C402" i="14"/>
  <c r="A402" i="14"/>
  <c r="E401" i="14"/>
  <c r="C401" i="14"/>
  <c r="A401" i="14"/>
  <c r="E400" i="14"/>
  <c r="C400" i="14"/>
  <c r="A400" i="14"/>
  <c r="E399" i="14"/>
  <c r="C399" i="14"/>
  <c r="A399" i="14"/>
  <c r="E398" i="14"/>
  <c r="C398" i="14"/>
  <c r="A398" i="14"/>
  <c r="E397" i="14"/>
  <c r="C397" i="14"/>
  <c r="A397" i="14"/>
  <c r="E396" i="14"/>
  <c r="C396" i="14"/>
  <c r="A396" i="14"/>
  <c r="E395" i="14"/>
  <c r="C395" i="14"/>
  <c r="A395" i="14"/>
  <c r="E394" i="14"/>
  <c r="C394" i="14"/>
  <c r="A394" i="14"/>
  <c r="E393" i="14"/>
  <c r="C393" i="14"/>
  <c r="A393" i="14"/>
  <c r="E392" i="14"/>
  <c r="C392" i="14"/>
  <c r="A392" i="14"/>
  <c r="E391" i="14"/>
  <c r="C391" i="14"/>
  <c r="A391" i="14"/>
  <c r="E390" i="14"/>
  <c r="C390" i="14"/>
  <c r="A390" i="14"/>
  <c r="E389" i="14"/>
  <c r="C389" i="14"/>
  <c r="A389" i="14"/>
  <c r="E388" i="14"/>
  <c r="C388" i="14"/>
  <c r="A388" i="14"/>
  <c r="E387" i="14"/>
  <c r="C387" i="14"/>
  <c r="A387" i="14"/>
  <c r="E386" i="14"/>
  <c r="C386" i="14"/>
  <c r="A386" i="14"/>
  <c r="E385" i="14"/>
  <c r="C385" i="14"/>
  <c r="A385" i="14"/>
  <c r="E384" i="14"/>
  <c r="C384" i="14"/>
  <c r="A384" i="14"/>
  <c r="E383" i="14"/>
  <c r="C383" i="14"/>
  <c r="A383" i="14"/>
  <c r="E382" i="14"/>
  <c r="C382" i="14"/>
  <c r="A382" i="14"/>
  <c r="E381" i="14"/>
  <c r="C381" i="14"/>
  <c r="A381" i="14"/>
  <c r="E380" i="14"/>
  <c r="C380" i="14"/>
  <c r="A380" i="14"/>
  <c r="E379" i="14"/>
  <c r="C379" i="14"/>
  <c r="A379" i="14"/>
  <c r="E378" i="14"/>
  <c r="C378" i="14"/>
  <c r="A378" i="14"/>
  <c r="E377" i="14"/>
  <c r="C377" i="14"/>
  <c r="A377" i="14"/>
  <c r="E376" i="14"/>
  <c r="C376" i="14"/>
  <c r="A376" i="14"/>
  <c r="E375" i="14"/>
  <c r="C375" i="14"/>
  <c r="A375" i="14"/>
  <c r="E374" i="14"/>
  <c r="C374" i="14"/>
  <c r="A374" i="14"/>
  <c r="E373" i="14"/>
  <c r="C373" i="14"/>
  <c r="A373" i="14"/>
  <c r="E372" i="14"/>
  <c r="C372" i="14"/>
  <c r="A372" i="14"/>
  <c r="E371" i="14"/>
  <c r="C371" i="14"/>
  <c r="A371" i="14"/>
  <c r="E370" i="14"/>
  <c r="C370" i="14"/>
  <c r="A370" i="14"/>
  <c r="E369" i="14"/>
  <c r="C369" i="14"/>
  <c r="A369" i="14"/>
  <c r="E368" i="14"/>
  <c r="C368" i="14"/>
  <c r="A368" i="14"/>
  <c r="E367" i="14"/>
  <c r="C367" i="14"/>
  <c r="A367" i="14"/>
  <c r="E366" i="14"/>
  <c r="C366" i="14"/>
  <c r="A366" i="14"/>
  <c r="E365" i="14"/>
  <c r="C365" i="14"/>
  <c r="A365" i="14"/>
  <c r="E364" i="14"/>
  <c r="C364" i="14"/>
  <c r="A364" i="14"/>
  <c r="E363" i="14"/>
  <c r="C363" i="14"/>
  <c r="A363" i="14"/>
  <c r="E362" i="14"/>
  <c r="C362" i="14"/>
  <c r="A362" i="14"/>
  <c r="E361" i="14"/>
  <c r="C361" i="14"/>
  <c r="A361" i="14"/>
  <c r="E360" i="14"/>
  <c r="C360" i="14"/>
  <c r="A360" i="14"/>
  <c r="E359" i="14"/>
  <c r="C359" i="14"/>
  <c r="A359" i="14"/>
  <c r="E358" i="14"/>
  <c r="C358" i="14"/>
  <c r="A358" i="14"/>
  <c r="E357" i="14"/>
  <c r="C357" i="14"/>
  <c r="A357" i="14"/>
  <c r="E356" i="14"/>
  <c r="C356" i="14"/>
  <c r="A356" i="14"/>
  <c r="E355" i="14"/>
  <c r="C355" i="14"/>
  <c r="A355" i="14"/>
  <c r="E354" i="14"/>
  <c r="C354" i="14"/>
  <c r="A354" i="14"/>
  <c r="E353" i="14"/>
  <c r="C353" i="14"/>
  <c r="A353" i="14"/>
  <c r="E352" i="14"/>
  <c r="C352" i="14"/>
  <c r="A352" i="14"/>
  <c r="E351" i="14"/>
  <c r="C351" i="14"/>
  <c r="A351" i="14"/>
  <c r="E350" i="14"/>
  <c r="C350" i="14"/>
  <c r="A350" i="14"/>
  <c r="E349" i="14"/>
  <c r="C349" i="14"/>
  <c r="A349" i="14"/>
  <c r="E348" i="14"/>
  <c r="C348" i="14"/>
  <c r="A348" i="14"/>
  <c r="E347" i="14"/>
  <c r="C347" i="14"/>
  <c r="A347" i="14"/>
  <c r="E346" i="14"/>
  <c r="C346" i="14"/>
  <c r="A346" i="14"/>
  <c r="E345" i="14"/>
  <c r="C345" i="14"/>
  <c r="A345" i="14"/>
  <c r="E344" i="14"/>
  <c r="C344" i="14"/>
  <c r="A344" i="14"/>
  <c r="E343" i="14"/>
  <c r="C343" i="14"/>
  <c r="A343" i="14"/>
  <c r="E342" i="14"/>
  <c r="C342" i="14"/>
  <c r="A342" i="14"/>
  <c r="E341" i="14"/>
  <c r="C341" i="14"/>
  <c r="A341" i="14"/>
  <c r="E340" i="14"/>
  <c r="C340" i="14"/>
  <c r="A340" i="14"/>
  <c r="E339" i="14"/>
  <c r="C339" i="14"/>
  <c r="A339" i="14"/>
  <c r="E338" i="14"/>
  <c r="C338" i="14"/>
  <c r="A338" i="14"/>
  <c r="E337" i="14"/>
  <c r="C337" i="14"/>
  <c r="A337" i="14"/>
  <c r="E336" i="14"/>
  <c r="C336" i="14"/>
  <c r="A336" i="14"/>
  <c r="E335" i="14"/>
  <c r="C335" i="14"/>
  <c r="A335" i="14"/>
  <c r="E334" i="14"/>
  <c r="C334" i="14"/>
  <c r="A334" i="14"/>
  <c r="E333" i="14"/>
  <c r="C333" i="14"/>
  <c r="A333" i="14"/>
  <c r="E332" i="14"/>
  <c r="C332" i="14"/>
  <c r="A332" i="14"/>
  <c r="E331" i="14"/>
  <c r="C331" i="14"/>
  <c r="A331" i="14"/>
  <c r="E330" i="14"/>
  <c r="C330" i="14"/>
  <c r="A330" i="14"/>
  <c r="E329" i="14"/>
  <c r="C329" i="14"/>
  <c r="A329" i="14"/>
  <c r="E328" i="14"/>
  <c r="C328" i="14"/>
  <c r="A328" i="14"/>
  <c r="E327" i="14"/>
  <c r="C327" i="14"/>
  <c r="A327" i="14"/>
  <c r="E326" i="14"/>
  <c r="C326" i="14"/>
  <c r="A326" i="14"/>
  <c r="E325" i="14"/>
  <c r="C325" i="14"/>
  <c r="A325" i="14"/>
  <c r="E324" i="14"/>
  <c r="C324" i="14"/>
  <c r="A324" i="14"/>
  <c r="E323" i="14"/>
  <c r="C323" i="14"/>
  <c r="A323" i="14"/>
  <c r="E322" i="14"/>
  <c r="C322" i="14"/>
  <c r="A322" i="14"/>
  <c r="E321" i="14"/>
  <c r="C321" i="14"/>
  <c r="A321" i="14"/>
  <c r="E320" i="14"/>
  <c r="C320" i="14"/>
  <c r="A320" i="14"/>
  <c r="E319" i="14"/>
  <c r="C319" i="14"/>
  <c r="A319" i="14"/>
  <c r="E318" i="14"/>
  <c r="C318" i="14"/>
  <c r="A318" i="14"/>
  <c r="E317" i="14"/>
  <c r="C317" i="14"/>
  <c r="A317" i="14"/>
  <c r="E316" i="14"/>
  <c r="C316" i="14"/>
  <c r="A316" i="14"/>
  <c r="E315" i="14"/>
  <c r="C315" i="14"/>
  <c r="A315" i="14"/>
  <c r="E314" i="14"/>
  <c r="C314" i="14"/>
  <c r="A314" i="14"/>
  <c r="E313" i="14"/>
  <c r="C313" i="14"/>
  <c r="A313" i="14"/>
  <c r="E312" i="14"/>
  <c r="C312" i="14"/>
  <c r="A312" i="14"/>
  <c r="E311" i="14"/>
  <c r="C311" i="14"/>
  <c r="A311" i="14"/>
  <c r="E310" i="14"/>
  <c r="C310" i="14"/>
  <c r="A310" i="14"/>
  <c r="E309" i="14"/>
  <c r="C309" i="14"/>
  <c r="A309" i="14"/>
  <c r="E308" i="14"/>
  <c r="C308" i="14"/>
  <c r="A308" i="14"/>
  <c r="E307" i="14"/>
  <c r="C307" i="14"/>
  <c r="A307" i="14"/>
  <c r="E306" i="14"/>
  <c r="C306" i="14"/>
  <c r="A306" i="14"/>
  <c r="E305" i="14"/>
  <c r="C305" i="14"/>
  <c r="A305" i="14"/>
  <c r="E304" i="14"/>
  <c r="C304" i="14"/>
  <c r="A304" i="14"/>
  <c r="E303" i="14"/>
  <c r="C303" i="14"/>
  <c r="A303" i="14"/>
  <c r="E302" i="14"/>
  <c r="C302" i="14"/>
  <c r="A302" i="14"/>
  <c r="E301" i="14"/>
  <c r="C301" i="14"/>
  <c r="A301" i="14"/>
  <c r="E300" i="14"/>
  <c r="C300" i="14"/>
  <c r="A300" i="14"/>
  <c r="E299" i="14"/>
  <c r="C299" i="14"/>
  <c r="A299" i="14"/>
  <c r="E298" i="14"/>
  <c r="C298" i="14"/>
  <c r="A298" i="14"/>
  <c r="E297" i="14"/>
  <c r="C297" i="14"/>
  <c r="A297" i="14"/>
  <c r="E296" i="14"/>
  <c r="C296" i="14"/>
  <c r="A296" i="14"/>
  <c r="E295" i="14"/>
  <c r="C295" i="14"/>
  <c r="A295" i="14"/>
  <c r="E294" i="14"/>
  <c r="C294" i="14"/>
  <c r="A294" i="14"/>
  <c r="E293" i="14"/>
  <c r="C293" i="14"/>
  <c r="A293" i="14"/>
  <c r="E292" i="14"/>
  <c r="C292" i="14"/>
  <c r="A292" i="14"/>
  <c r="E291" i="14"/>
  <c r="C291" i="14"/>
  <c r="A291" i="14"/>
  <c r="E290" i="14"/>
  <c r="C290" i="14"/>
  <c r="A290" i="14"/>
  <c r="E289" i="14"/>
  <c r="C289" i="14"/>
  <c r="A289" i="14"/>
  <c r="E288" i="14"/>
  <c r="C288" i="14"/>
  <c r="A288" i="14"/>
  <c r="E287" i="14"/>
  <c r="C287" i="14"/>
  <c r="A287" i="14"/>
  <c r="E286" i="14"/>
  <c r="C286" i="14"/>
  <c r="A286" i="14"/>
  <c r="E285" i="14"/>
  <c r="C285" i="14"/>
  <c r="A285" i="14"/>
  <c r="E284" i="14"/>
  <c r="C284" i="14"/>
  <c r="A284" i="14"/>
  <c r="E283" i="14"/>
  <c r="C283" i="14"/>
  <c r="A283" i="14"/>
  <c r="E282" i="14"/>
  <c r="C282" i="14"/>
  <c r="A282" i="14"/>
  <c r="E281" i="14"/>
  <c r="C281" i="14"/>
  <c r="A281" i="14"/>
  <c r="E280" i="14"/>
  <c r="C280" i="14"/>
  <c r="A280" i="14"/>
  <c r="E279" i="14"/>
  <c r="C279" i="14"/>
  <c r="A279" i="14"/>
  <c r="E278" i="14"/>
  <c r="C278" i="14"/>
  <c r="A278" i="14"/>
  <c r="E277" i="14"/>
  <c r="C277" i="14"/>
  <c r="A277" i="14"/>
  <c r="E276" i="14"/>
  <c r="C276" i="14"/>
  <c r="A276" i="14"/>
  <c r="E275" i="14"/>
  <c r="C275" i="14"/>
  <c r="A275" i="14"/>
  <c r="E274" i="14"/>
  <c r="C274" i="14"/>
  <c r="A274" i="14"/>
  <c r="E273" i="14"/>
  <c r="C273" i="14"/>
  <c r="A273" i="14"/>
  <c r="E272" i="14"/>
  <c r="C272" i="14"/>
  <c r="A272" i="14"/>
  <c r="E271" i="14"/>
  <c r="C271" i="14"/>
  <c r="A271" i="14"/>
  <c r="E270" i="14"/>
  <c r="C270" i="14"/>
  <c r="A270" i="14"/>
  <c r="E269" i="14"/>
  <c r="C269" i="14"/>
  <c r="A269" i="14"/>
  <c r="E268" i="14"/>
  <c r="C268" i="14"/>
  <c r="A268" i="14"/>
  <c r="E267" i="14"/>
  <c r="C267" i="14"/>
  <c r="A267" i="14"/>
  <c r="E266" i="14"/>
  <c r="C266" i="14"/>
  <c r="A266" i="14"/>
  <c r="E265" i="14"/>
  <c r="C265" i="14"/>
  <c r="A265" i="14"/>
  <c r="E264" i="14"/>
  <c r="C264" i="14"/>
  <c r="A264" i="14"/>
  <c r="E263" i="14"/>
  <c r="C263" i="14"/>
  <c r="A263" i="14"/>
  <c r="E262" i="14"/>
  <c r="C262" i="14"/>
  <c r="A262" i="14"/>
  <c r="E261" i="14"/>
  <c r="C261" i="14"/>
  <c r="A261" i="14"/>
  <c r="E260" i="14"/>
  <c r="C260" i="14"/>
  <c r="A260" i="14"/>
  <c r="E259" i="14"/>
  <c r="C259" i="14"/>
  <c r="A259" i="14"/>
  <c r="E258" i="14"/>
  <c r="C258" i="14"/>
  <c r="A258" i="14"/>
  <c r="E257" i="14"/>
  <c r="C257" i="14"/>
  <c r="A257" i="14"/>
  <c r="E256" i="14"/>
  <c r="C256" i="14"/>
  <c r="A256" i="14"/>
  <c r="E255" i="14"/>
  <c r="C255" i="14"/>
  <c r="A255" i="14"/>
  <c r="E254" i="14"/>
  <c r="C254" i="14"/>
  <c r="A254" i="14"/>
  <c r="E253" i="14"/>
  <c r="C253" i="14"/>
  <c r="A253" i="14"/>
  <c r="E252" i="14"/>
  <c r="C252" i="14"/>
  <c r="A252" i="14"/>
  <c r="E251" i="14"/>
  <c r="C251" i="14"/>
  <c r="A251" i="14"/>
  <c r="E250" i="14"/>
  <c r="C250" i="14"/>
  <c r="A250" i="14"/>
  <c r="E249" i="14"/>
  <c r="C249" i="14"/>
  <c r="A249" i="14"/>
  <c r="E248" i="14"/>
  <c r="C248" i="14"/>
  <c r="A248" i="14"/>
  <c r="E247" i="14"/>
  <c r="C247" i="14"/>
  <c r="A247" i="14"/>
  <c r="E246" i="14"/>
  <c r="C246" i="14"/>
  <c r="A246" i="14"/>
  <c r="E245" i="14"/>
  <c r="C245" i="14"/>
  <c r="A245" i="14"/>
  <c r="E244" i="14"/>
  <c r="C244" i="14"/>
  <c r="A244" i="14"/>
  <c r="E243" i="14"/>
  <c r="C243" i="14"/>
  <c r="A243" i="14"/>
  <c r="E242" i="14"/>
  <c r="C242" i="14"/>
  <c r="A242" i="14"/>
  <c r="E241" i="14"/>
  <c r="C241" i="14"/>
  <c r="A241" i="14"/>
  <c r="E240" i="14"/>
  <c r="C240" i="14"/>
  <c r="A240" i="14"/>
  <c r="E239" i="14"/>
  <c r="C239" i="14"/>
  <c r="A239" i="14"/>
  <c r="E238" i="14"/>
  <c r="C238" i="14"/>
  <c r="A238" i="14"/>
  <c r="E237" i="14"/>
  <c r="C237" i="14"/>
  <c r="A237" i="14"/>
  <c r="E236" i="14"/>
  <c r="C236" i="14"/>
  <c r="A236" i="14"/>
  <c r="E235" i="14"/>
  <c r="C235" i="14"/>
  <c r="A235" i="14"/>
  <c r="E234" i="14"/>
  <c r="C234" i="14"/>
  <c r="A234" i="14"/>
  <c r="E233" i="14"/>
  <c r="C233" i="14"/>
  <c r="A233" i="14"/>
  <c r="E232" i="14"/>
  <c r="C232" i="14"/>
  <c r="A232" i="14"/>
  <c r="E231" i="14"/>
  <c r="C231" i="14"/>
  <c r="A231" i="14"/>
  <c r="E230" i="14"/>
  <c r="C230" i="14"/>
  <c r="A230" i="14"/>
  <c r="E229" i="14"/>
  <c r="C229" i="14"/>
  <c r="A229" i="14"/>
  <c r="E228" i="14"/>
  <c r="C228" i="14"/>
  <c r="A228" i="14"/>
  <c r="E227" i="14"/>
  <c r="C227" i="14"/>
  <c r="A227" i="14"/>
  <c r="E226" i="14"/>
  <c r="C226" i="14"/>
  <c r="A226" i="14"/>
  <c r="E225" i="14"/>
  <c r="C225" i="14"/>
  <c r="A225" i="14"/>
  <c r="E224" i="14"/>
  <c r="C224" i="14"/>
  <c r="A224" i="14"/>
  <c r="E223" i="14"/>
  <c r="C223" i="14"/>
  <c r="A223" i="14"/>
  <c r="E222" i="14"/>
  <c r="C222" i="14"/>
  <c r="A222" i="14"/>
  <c r="E221" i="14"/>
  <c r="C221" i="14"/>
  <c r="A221" i="14"/>
  <c r="E220" i="14"/>
  <c r="C220" i="14"/>
  <c r="A220" i="14"/>
  <c r="E219" i="14"/>
  <c r="C219" i="14"/>
  <c r="A219" i="14"/>
  <c r="E218" i="14"/>
  <c r="C218" i="14"/>
  <c r="A218" i="14"/>
  <c r="E217" i="14"/>
  <c r="C217" i="14"/>
  <c r="A217" i="14"/>
  <c r="E216" i="14"/>
  <c r="C216" i="14"/>
  <c r="A216" i="14"/>
  <c r="E215" i="14"/>
  <c r="C215" i="14"/>
  <c r="A215" i="14"/>
  <c r="E214" i="14"/>
  <c r="C214" i="14"/>
  <c r="A214" i="14"/>
  <c r="E213" i="14"/>
  <c r="C213" i="14"/>
  <c r="A213" i="14"/>
  <c r="E212" i="14"/>
  <c r="C212" i="14"/>
  <c r="A212" i="14"/>
  <c r="E211" i="14"/>
  <c r="C211" i="14"/>
  <c r="A211" i="14"/>
  <c r="E210" i="14"/>
  <c r="C210" i="14"/>
  <c r="A210" i="14"/>
  <c r="E209" i="14"/>
  <c r="C209" i="14"/>
  <c r="A209" i="14"/>
  <c r="E208" i="14"/>
  <c r="C208" i="14"/>
  <c r="A208" i="14"/>
  <c r="E207" i="14"/>
  <c r="C207" i="14"/>
  <c r="A207" i="14"/>
  <c r="E206" i="14"/>
  <c r="C206" i="14"/>
  <c r="A206" i="14"/>
  <c r="E205" i="14"/>
  <c r="C205" i="14"/>
  <c r="A205" i="14"/>
  <c r="E204" i="14"/>
  <c r="C204" i="14"/>
  <c r="A204" i="14"/>
  <c r="E203" i="14"/>
  <c r="C203" i="14"/>
  <c r="A203" i="14"/>
  <c r="E202" i="14"/>
  <c r="C202" i="14"/>
  <c r="A202" i="14"/>
  <c r="E201" i="14"/>
  <c r="C201" i="14"/>
  <c r="A201" i="14"/>
  <c r="E200" i="14"/>
  <c r="C200" i="14"/>
  <c r="A200" i="14"/>
  <c r="E199" i="14"/>
  <c r="C199" i="14"/>
  <c r="A199" i="14"/>
  <c r="E198" i="14"/>
  <c r="C198" i="14"/>
  <c r="A198" i="14"/>
  <c r="E197" i="14"/>
  <c r="C197" i="14"/>
  <c r="A197" i="14"/>
  <c r="E196" i="14"/>
  <c r="C196" i="14"/>
  <c r="A196" i="14"/>
  <c r="E195" i="14"/>
  <c r="C195" i="14"/>
  <c r="A195" i="14"/>
  <c r="E194" i="14"/>
  <c r="C194" i="14"/>
  <c r="A194" i="14"/>
  <c r="E193" i="14"/>
  <c r="C193" i="14"/>
  <c r="A193" i="14"/>
  <c r="E192" i="14"/>
  <c r="C192" i="14"/>
  <c r="A192" i="14"/>
  <c r="E191" i="14"/>
  <c r="C191" i="14"/>
  <c r="A191" i="14"/>
  <c r="E190" i="14"/>
  <c r="C190" i="14"/>
  <c r="A190" i="14"/>
  <c r="E189" i="14"/>
  <c r="C189" i="14"/>
  <c r="A189" i="14"/>
  <c r="E188" i="14"/>
  <c r="C188" i="14"/>
  <c r="A188" i="14"/>
  <c r="E187" i="14"/>
  <c r="C187" i="14"/>
  <c r="A187" i="14"/>
  <c r="E186" i="14"/>
  <c r="C186" i="14"/>
  <c r="A186" i="14"/>
  <c r="E185" i="14"/>
  <c r="C185" i="14"/>
  <c r="A185" i="14"/>
  <c r="E184" i="14"/>
  <c r="C184" i="14"/>
  <c r="A184" i="14"/>
  <c r="E183" i="14"/>
  <c r="C183" i="14"/>
  <c r="A183" i="14"/>
  <c r="E182" i="14"/>
  <c r="C182" i="14"/>
  <c r="A182" i="14"/>
  <c r="E181" i="14"/>
  <c r="C181" i="14"/>
  <c r="A181" i="14"/>
  <c r="E180" i="14"/>
  <c r="C180" i="14"/>
  <c r="A180" i="14"/>
  <c r="E179" i="14"/>
  <c r="C179" i="14"/>
  <c r="A179" i="14"/>
  <c r="E178" i="14"/>
  <c r="C178" i="14"/>
  <c r="A178" i="14"/>
  <c r="E177" i="14"/>
  <c r="C177" i="14"/>
  <c r="A177" i="14"/>
  <c r="E176" i="14"/>
  <c r="C176" i="14"/>
  <c r="A176" i="14"/>
  <c r="E175" i="14"/>
  <c r="C175" i="14"/>
  <c r="A175" i="14"/>
  <c r="E174" i="14"/>
  <c r="C174" i="14"/>
  <c r="A174" i="14"/>
  <c r="E173" i="14"/>
  <c r="C173" i="14"/>
  <c r="A173" i="14"/>
  <c r="E172" i="14"/>
  <c r="C172" i="14"/>
  <c r="A172" i="14"/>
  <c r="E171" i="14"/>
  <c r="C171" i="14"/>
  <c r="A171" i="14"/>
  <c r="E170" i="14"/>
  <c r="C170" i="14"/>
  <c r="A170" i="14"/>
  <c r="E169" i="14"/>
  <c r="C169" i="14"/>
  <c r="A169" i="14"/>
  <c r="E168" i="14"/>
  <c r="C168" i="14"/>
  <c r="A168" i="14"/>
  <c r="E167" i="14"/>
  <c r="C167" i="14"/>
  <c r="A167" i="14"/>
  <c r="E166" i="14"/>
  <c r="C166" i="14"/>
  <c r="A166" i="14"/>
  <c r="E165" i="14"/>
  <c r="C165" i="14"/>
  <c r="A165" i="14"/>
  <c r="E164" i="14"/>
  <c r="C164" i="14"/>
  <c r="A164" i="14"/>
  <c r="E163" i="14"/>
  <c r="C163" i="14"/>
  <c r="A163" i="14"/>
  <c r="E162" i="14"/>
  <c r="C162" i="14"/>
  <c r="A162" i="14"/>
  <c r="E161" i="14"/>
  <c r="C161" i="14"/>
  <c r="A161" i="14"/>
  <c r="E160" i="14"/>
  <c r="C160" i="14"/>
  <c r="A160" i="14"/>
  <c r="E159" i="14"/>
  <c r="C159" i="14"/>
  <c r="A159" i="14"/>
  <c r="E158" i="14"/>
  <c r="C158" i="14"/>
  <c r="A158" i="14"/>
  <c r="E157" i="14"/>
  <c r="C157" i="14"/>
  <c r="A157" i="14"/>
  <c r="E156" i="14"/>
  <c r="C156" i="14"/>
  <c r="A156" i="14"/>
  <c r="E155" i="14"/>
  <c r="C155" i="14"/>
  <c r="A155" i="14"/>
  <c r="E154" i="14"/>
  <c r="C154" i="14"/>
  <c r="A154" i="14"/>
  <c r="E153" i="14"/>
  <c r="C153" i="14"/>
  <c r="A153" i="14"/>
  <c r="E152" i="14"/>
  <c r="C152" i="14"/>
  <c r="A152" i="14"/>
  <c r="E151" i="14"/>
  <c r="C151" i="14"/>
  <c r="A151" i="14"/>
  <c r="E150" i="14"/>
  <c r="C150" i="14"/>
  <c r="A150" i="14"/>
  <c r="E149" i="14"/>
  <c r="C149" i="14"/>
  <c r="A149" i="14"/>
  <c r="E148" i="14"/>
  <c r="C148" i="14"/>
  <c r="A148" i="14"/>
  <c r="E147" i="14"/>
  <c r="C147" i="14"/>
  <c r="A147" i="14"/>
  <c r="E146" i="14"/>
  <c r="C146" i="14"/>
  <c r="A146" i="14"/>
  <c r="E145" i="14"/>
  <c r="C145" i="14"/>
  <c r="A145" i="14"/>
  <c r="E144" i="14"/>
  <c r="C144" i="14"/>
  <c r="A144" i="14"/>
  <c r="E143" i="14"/>
  <c r="C143" i="14"/>
  <c r="A143" i="14"/>
  <c r="E142" i="14"/>
  <c r="C142" i="14"/>
  <c r="A142" i="14"/>
  <c r="E141" i="14"/>
  <c r="C141" i="14"/>
  <c r="A141" i="14"/>
  <c r="E140" i="14"/>
  <c r="C140" i="14"/>
  <c r="A140" i="14"/>
  <c r="E139" i="14"/>
  <c r="C139" i="14"/>
  <c r="A139" i="14"/>
  <c r="E138" i="14"/>
  <c r="C138" i="14"/>
  <c r="A138" i="14"/>
  <c r="E137" i="14"/>
  <c r="C137" i="14"/>
  <c r="A137" i="14"/>
  <c r="E136" i="14"/>
  <c r="C136" i="14"/>
  <c r="A136" i="14"/>
  <c r="E135" i="14"/>
  <c r="C135" i="14"/>
  <c r="A135" i="14"/>
  <c r="E134" i="14"/>
  <c r="C134" i="14"/>
  <c r="A134" i="14"/>
  <c r="E133" i="14"/>
  <c r="C133" i="14"/>
  <c r="A133" i="14"/>
  <c r="E132" i="14"/>
  <c r="C132" i="14"/>
  <c r="A132" i="14"/>
  <c r="E131" i="14"/>
  <c r="C131" i="14"/>
  <c r="A131" i="14"/>
  <c r="E130" i="14"/>
  <c r="C130" i="14"/>
  <c r="A130" i="14"/>
  <c r="E129" i="14"/>
  <c r="C129" i="14"/>
  <c r="A129" i="14"/>
  <c r="E128" i="14"/>
  <c r="C128" i="14"/>
  <c r="A128" i="14"/>
  <c r="E127" i="14"/>
  <c r="C127" i="14"/>
  <c r="A127" i="14"/>
  <c r="E126" i="14"/>
  <c r="C126" i="14"/>
  <c r="A126" i="14"/>
  <c r="E125" i="14"/>
  <c r="C125" i="14"/>
  <c r="A125" i="14"/>
  <c r="E124" i="14"/>
  <c r="C124" i="14"/>
  <c r="A124" i="14"/>
  <c r="E123" i="14"/>
  <c r="C123" i="14"/>
  <c r="A123" i="14"/>
  <c r="E122" i="14"/>
  <c r="C122" i="14"/>
  <c r="A122" i="14"/>
  <c r="E121" i="14"/>
  <c r="C121" i="14"/>
  <c r="A121" i="14"/>
  <c r="E120" i="14"/>
  <c r="C120" i="14"/>
  <c r="A120" i="14"/>
  <c r="E119" i="14"/>
  <c r="C119" i="14"/>
  <c r="A119" i="14"/>
  <c r="E118" i="14"/>
  <c r="C118" i="14"/>
  <c r="A118" i="14"/>
  <c r="E117" i="14"/>
  <c r="C117" i="14"/>
  <c r="A117" i="14"/>
  <c r="E116" i="14"/>
  <c r="C116" i="14"/>
  <c r="A116" i="14"/>
  <c r="E115" i="14"/>
  <c r="C115" i="14"/>
  <c r="A115" i="14"/>
  <c r="E114" i="14"/>
  <c r="C114" i="14"/>
  <c r="A114" i="14"/>
  <c r="E113" i="14"/>
  <c r="C113" i="14"/>
  <c r="A113" i="14"/>
  <c r="E112" i="14"/>
  <c r="C112" i="14"/>
  <c r="A112" i="14"/>
  <c r="E111" i="14"/>
  <c r="C111" i="14"/>
  <c r="A111" i="14"/>
  <c r="E110" i="14"/>
  <c r="C110" i="14"/>
  <c r="A110" i="14"/>
  <c r="E109" i="14"/>
  <c r="C109" i="14"/>
  <c r="A109" i="14"/>
  <c r="E108" i="14"/>
  <c r="C108" i="14"/>
  <c r="A108" i="14"/>
  <c r="E107" i="14"/>
  <c r="C107" i="14"/>
  <c r="A107" i="14"/>
  <c r="E106" i="14"/>
  <c r="C106" i="14"/>
  <c r="A106" i="14"/>
  <c r="E105" i="14"/>
  <c r="C105" i="14"/>
  <c r="A105" i="14"/>
  <c r="E104" i="14"/>
  <c r="C104" i="14"/>
  <c r="A104" i="14"/>
  <c r="E103" i="14"/>
  <c r="C103" i="14"/>
  <c r="A103" i="14"/>
  <c r="E102" i="14"/>
  <c r="C102" i="14"/>
  <c r="A102" i="14"/>
  <c r="E101" i="14"/>
  <c r="C101" i="14"/>
  <c r="A101" i="14"/>
  <c r="E100" i="14"/>
  <c r="C100" i="14"/>
  <c r="A100" i="14"/>
  <c r="E99" i="14"/>
  <c r="C99" i="14"/>
  <c r="A99" i="14"/>
  <c r="E98" i="14"/>
  <c r="C98" i="14"/>
  <c r="A98" i="14"/>
  <c r="E97" i="14"/>
  <c r="C97" i="14"/>
  <c r="A97" i="14"/>
  <c r="E96" i="14"/>
  <c r="C96" i="14"/>
  <c r="A96" i="14"/>
  <c r="E95" i="14"/>
  <c r="C95" i="14"/>
  <c r="A95" i="14"/>
  <c r="E94" i="14"/>
  <c r="C94" i="14"/>
  <c r="A94" i="14"/>
  <c r="E93" i="14"/>
  <c r="C93" i="14"/>
  <c r="A93" i="14"/>
  <c r="E92" i="14"/>
  <c r="C92" i="14"/>
  <c r="A92" i="14"/>
  <c r="E91" i="14"/>
  <c r="C91" i="14"/>
  <c r="A91" i="14"/>
  <c r="E90" i="14"/>
  <c r="C90" i="14"/>
  <c r="A90" i="14"/>
  <c r="E89" i="14"/>
  <c r="C89" i="14"/>
  <c r="A89" i="14"/>
  <c r="E88" i="14"/>
  <c r="C88" i="14"/>
  <c r="A88" i="14"/>
  <c r="E87" i="14"/>
  <c r="C87" i="14"/>
  <c r="A87" i="14"/>
  <c r="E86" i="14"/>
  <c r="C86" i="14"/>
  <c r="A86" i="14"/>
  <c r="E85" i="14"/>
  <c r="C85" i="14"/>
  <c r="A85" i="14"/>
  <c r="E84" i="14"/>
  <c r="C84" i="14"/>
  <c r="A84" i="14"/>
  <c r="E83" i="14"/>
  <c r="C83" i="14"/>
  <c r="A83" i="14"/>
  <c r="E82" i="14"/>
  <c r="C82" i="14"/>
  <c r="A82" i="14"/>
  <c r="E81" i="14"/>
  <c r="C81" i="14"/>
  <c r="A81" i="14"/>
  <c r="E80" i="14"/>
  <c r="C80" i="14"/>
  <c r="A80" i="14"/>
  <c r="E79" i="14"/>
  <c r="C79" i="14"/>
  <c r="A79" i="14"/>
  <c r="E78" i="14"/>
  <c r="C78" i="14"/>
  <c r="A78" i="14"/>
  <c r="E77" i="14"/>
  <c r="C77" i="14"/>
  <c r="A77" i="14"/>
  <c r="E76" i="14"/>
  <c r="C76" i="14"/>
  <c r="A76" i="14"/>
  <c r="E75" i="14"/>
  <c r="C75" i="14"/>
  <c r="A75" i="14"/>
  <c r="E74" i="14"/>
  <c r="C74" i="14"/>
  <c r="A74" i="14"/>
  <c r="E73" i="14"/>
  <c r="C73" i="14"/>
  <c r="A73" i="14"/>
  <c r="E72" i="14"/>
  <c r="C72" i="14"/>
  <c r="A72" i="14"/>
  <c r="E71" i="14"/>
  <c r="C71" i="14"/>
  <c r="A71" i="14"/>
  <c r="E70" i="14"/>
  <c r="C70" i="14"/>
  <c r="A70" i="14"/>
  <c r="E69" i="14"/>
  <c r="C69" i="14"/>
  <c r="A69" i="14"/>
  <c r="E68" i="14"/>
  <c r="C68" i="14"/>
  <c r="A68" i="14"/>
  <c r="E67" i="14"/>
  <c r="C67" i="14"/>
  <c r="A67" i="14"/>
  <c r="E66" i="14"/>
  <c r="C66" i="14"/>
  <c r="A66" i="14"/>
  <c r="E65" i="14"/>
  <c r="C65" i="14"/>
  <c r="A65" i="14"/>
  <c r="E64" i="14"/>
  <c r="C64" i="14"/>
  <c r="A64" i="14"/>
  <c r="E63" i="14"/>
  <c r="C63" i="14"/>
  <c r="A63" i="14"/>
  <c r="E62" i="14"/>
  <c r="C62" i="14"/>
  <c r="A62" i="14"/>
  <c r="E61" i="14"/>
  <c r="C61" i="14"/>
  <c r="A61" i="14"/>
  <c r="E60" i="14"/>
  <c r="C60" i="14"/>
  <c r="A60" i="14"/>
  <c r="E59" i="14"/>
  <c r="C59" i="14"/>
  <c r="A59" i="14"/>
  <c r="E58" i="14"/>
  <c r="C58" i="14"/>
  <c r="A58" i="14"/>
  <c r="E57" i="14"/>
  <c r="C57" i="14"/>
  <c r="A57" i="14"/>
  <c r="E56" i="14"/>
  <c r="C56" i="14"/>
  <c r="A56" i="14"/>
  <c r="E55" i="14"/>
  <c r="C55" i="14"/>
  <c r="A55" i="14"/>
  <c r="E54" i="14"/>
  <c r="C54" i="14"/>
  <c r="A54" i="14"/>
  <c r="E53" i="14"/>
  <c r="C53" i="14"/>
  <c r="A53" i="14"/>
  <c r="E52" i="14"/>
  <c r="C52" i="14"/>
  <c r="A52" i="14"/>
  <c r="E51" i="14"/>
  <c r="C51" i="14"/>
  <c r="A51" i="14"/>
  <c r="E50" i="14"/>
  <c r="C50" i="14"/>
  <c r="A50" i="14"/>
  <c r="E49" i="14"/>
  <c r="C49" i="14"/>
  <c r="A49" i="14"/>
  <c r="E48" i="14"/>
  <c r="C48" i="14"/>
  <c r="A48" i="14"/>
  <c r="E47" i="14"/>
  <c r="C47" i="14"/>
  <c r="A47" i="14"/>
  <c r="E46" i="14"/>
  <c r="C46" i="14"/>
  <c r="A46" i="14"/>
  <c r="E45" i="14"/>
  <c r="C45" i="14"/>
  <c r="A45" i="14"/>
  <c r="E44" i="14"/>
  <c r="C44" i="14"/>
  <c r="A44" i="14"/>
  <c r="E43" i="14"/>
  <c r="C43" i="14"/>
  <c r="A43" i="14"/>
  <c r="E42" i="14"/>
  <c r="C42" i="14"/>
  <c r="A42" i="14"/>
  <c r="E41" i="14"/>
  <c r="C41" i="14"/>
  <c r="A41" i="14"/>
  <c r="E40" i="14"/>
  <c r="C40" i="14"/>
  <c r="A40" i="14"/>
  <c r="E39" i="14"/>
  <c r="C39" i="14"/>
  <c r="A39" i="14"/>
  <c r="E38" i="14"/>
  <c r="C38" i="14"/>
  <c r="A38" i="14"/>
  <c r="E37" i="14"/>
  <c r="C37" i="14"/>
  <c r="A37" i="14"/>
  <c r="E36" i="14"/>
  <c r="C36" i="14"/>
  <c r="A36" i="14"/>
  <c r="E35" i="14"/>
  <c r="C35" i="14"/>
  <c r="A35" i="14"/>
  <c r="E34" i="14"/>
  <c r="C34" i="14"/>
  <c r="A34" i="14"/>
  <c r="E33" i="14"/>
  <c r="C33" i="14"/>
  <c r="A33" i="14"/>
  <c r="E32" i="14"/>
  <c r="C32" i="14"/>
  <c r="A32" i="14"/>
  <c r="E31" i="14"/>
  <c r="C31" i="14"/>
  <c r="A31" i="14"/>
  <c r="E30" i="14"/>
  <c r="C30" i="14"/>
  <c r="A30" i="14"/>
  <c r="E29" i="14"/>
  <c r="C29" i="14"/>
  <c r="A29" i="14"/>
  <c r="E28" i="14"/>
  <c r="C28" i="14"/>
  <c r="A28" i="14"/>
  <c r="E27" i="14"/>
  <c r="C27" i="14"/>
  <c r="A27" i="14"/>
  <c r="E26" i="14"/>
  <c r="C26" i="14"/>
  <c r="A26" i="14"/>
  <c r="E25" i="14"/>
  <c r="C25" i="14"/>
  <c r="A25" i="14"/>
  <c r="E24" i="14"/>
  <c r="C24" i="14"/>
  <c r="A24" i="14"/>
  <c r="E23" i="14"/>
  <c r="C23" i="14"/>
  <c r="A23" i="14"/>
  <c r="E22" i="14"/>
  <c r="C22" i="14"/>
  <c r="A22" i="14"/>
  <c r="E21" i="14"/>
  <c r="C21" i="14"/>
  <c r="A21" i="14"/>
  <c r="E20" i="14"/>
  <c r="C20" i="14"/>
  <c r="A20" i="14"/>
  <c r="E19" i="14"/>
  <c r="C19" i="14"/>
  <c r="A19" i="14"/>
  <c r="E18" i="14"/>
  <c r="C18" i="14"/>
  <c r="A18" i="14"/>
  <c r="E17" i="14"/>
  <c r="C17" i="14"/>
  <c r="A17" i="14"/>
  <c r="E16" i="14"/>
  <c r="C16" i="14"/>
  <c r="A16" i="14"/>
  <c r="E15" i="14"/>
  <c r="C15" i="14"/>
  <c r="A15" i="14"/>
  <c r="E14" i="14"/>
  <c r="C14" i="14"/>
  <c r="A14" i="14"/>
  <c r="E13" i="14"/>
  <c r="C13" i="14"/>
  <c r="A13" i="14"/>
  <c r="E12" i="14"/>
  <c r="C12" i="14"/>
  <c r="A12" i="14"/>
  <c r="E11" i="14"/>
  <c r="C11" i="14"/>
  <c r="A11" i="14"/>
  <c r="E10" i="14"/>
  <c r="C10" i="14"/>
  <c r="A10" i="14"/>
  <c r="E9" i="14"/>
  <c r="C9" i="14"/>
  <c r="A9" i="14"/>
  <c r="E8" i="14"/>
  <c r="C8" i="14"/>
  <c r="A8" i="14"/>
  <c r="E7" i="14"/>
  <c r="C7" i="14"/>
  <c r="A7" i="14"/>
  <c r="E6" i="14"/>
  <c r="C6" i="14"/>
  <c r="A6" i="14"/>
  <c r="E5" i="14"/>
  <c r="C5" i="14"/>
  <c r="A5" i="14"/>
  <c r="E4" i="14"/>
  <c r="C4" i="14"/>
  <c r="A4" i="14"/>
  <c r="E3" i="14"/>
  <c r="C3" i="14"/>
  <c r="A3" i="14"/>
  <c r="E2" i="14"/>
  <c r="C2" i="14"/>
  <c r="A2" i="14"/>
  <c r="E495" i="13"/>
  <c r="C495" i="13"/>
  <c r="E494" i="13"/>
  <c r="C494" i="13"/>
  <c r="E493" i="13"/>
  <c r="C493" i="13"/>
  <c r="E492" i="13"/>
  <c r="C492" i="13"/>
  <c r="E491" i="13"/>
  <c r="C491" i="13"/>
  <c r="E490" i="13"/>
  <c r="C490" i="13"/>
  <c r="E489" i="13"/>
  <c r="C489" i="13"/>
  <c r="E488" i="13"/>
  <c r="C488" i="13"/>
  <c r="E487" i="13"/>
  <c r="C487" i="13"/>
  <c r="E486" i="13"/>
  <c r="C486" i="13"/>
  <c r="E485" i="13"/>
  <c r="C485" i="13"/>
  <c r="E484" i="13"/>
  <c r="C484" i="13"/>
  <c r="E483" i="13"/>
  <c r="C483" i="13"/>
  <c r="E482" i="13"/>
  <c r="C482" i="13"/>
  <c r="E481" i="13"/>
  <c r="C481" i="13"/>
  <c r="E480" i="13"/>
  <c r="C480" i="13"/>
  <c r="E479" i="13"/>
  <c r="C479" i="13"/>
  <c r="E478" i="13"/>
  <c r="C478" i="13"/>
  <c r="E477" i="13"/>
  <c r="C477" i="13"/>
  <c r="E476" i="13"/>
  <c r="C476" i="13"/>
  <c r="A485" i="13"/>
  <c r="A490" i="13"/>
  <c r="A484" i="13"/>
  <c r="A488" i="13"/>
  <c r="A477" i="13"/>
  <c r="A479" i="13"/>
  <c r="A480" i="13"/>
  <c r="A495" i="13"/>
  <c r="A489" i="13"/>
  <c r="A494" i="13"/>
  <c r="A478" i="13"/>
  <c r="A492" i="13"/>
  <c r="A486" i="13"/>
  <c r="A483" i="13"/>
  <c r="A487" i="13"/>
  <c r="A481" i="13"/>
  <c r="A491" i="13"/>
  <c r="A493" i="13"/>
  <c r="A482" i="13"/>
  <c r="A476" i="13"/>
  <c r="E475" i="13"/>
  <c r="C475" i="13"/>
  <c r="E474" i="13"/>
  <c r="C474" i="13"/>
  <c r="E473" i="13"/>
  <c r="C473" i="13"/>
  <c r="E472" i="13"/>
  <c r="C472" i="13"/>
  <c r="E471" i="13"/>
  <c r="C471" i="13"/>
  <c r="E470" i="13"/>
  <c r="C470" i="13"/>
  <c r="E469" i="13"/>
  <c r="C469" i="13"/>
  <c r="E468" i="13"/>
  <c r="C468" i="13"/>
  <c r="E467" i="13"/>
  <c r="C467" i="13"/>
  <c r="E466" i="13"/>
  <c r="C466" i="13"/>
  <c r="E465" i="13"/>
  <c r="C465" i="13"/>
  <c r="E464" i="13"/>
  <c r="C464" i="13"/>
  <c r="E463" i="13"/>
  <c r="C463" i="13"/>
  <c r="E462" i="13"/>
  <c r="C462" i="13"/>
  <c r="E461" i="13"/>
  <c r="C461" i="13"/>
  <c r="E460" i="13"/>
  <c r="C460" i="13"/>
  <c r="E459" i="13"/>
  <c r="C459" i="13"/>
  <c r="E458" i="13"/>
  <c r="C458" i="13"/>
  <c r="E457" i="13"/>
  <c r="C457" i="13"/>
  <c r="E456" i="13"/>
  <c r="C456" i="13"/>
  <c r="E455" i="13"/>
  <c r="C455" i="13"/>
  <c r="E454" i="13"/>
  <c r="C454" i="13"/>
  <c r="E453" i="13"/>
  <c r="C453" i="13"/>
  <c r="E452" i="13"/>
  <c r="C452" i="13"/>
  <c r="E451" i="13"/>
  <c r="C451" i="13"/>
  <c r="E450" i="13"/>
  <c r="C450" i="13"/>
  <c r="E449" i="13"/>
  <c r="C449" i="13"/>
  <c r="E448" i="13"/>
  <c r="C448" i="13"/>
  <c r="E447" i="13"/>
  <c r="C447" i="13"/>
  <c r="E446" i="13"/>
  <c r="C446" i="13"/>
  <c r="E445" i="13"/>
  <c r="C445" i="13"/>
  <c r="E444" i="13"/>
  <c r="C444" i="13"/>
  <c r="E443" i="13"/>
  <c r="C443" i="13"/>
  <c r="E442" i="13"/>
  <c r="C442" i="13"/>
  <c r="E441" i="13"/>
  <c r="C441" i="13"/>
  <c r="E440" i="13"/>
  <c r="C440" i="13"/>
  <c r="E439" i="13"/>
  <c r="C439" i="13"/>
  <c r="E438" i="13"/>
  <c r="C438" i="13"/>
  <c r="E437" i="13"/>
  <c r="C437" i="13"/>
  <c r="E436" i="13"/>
  <c r="C436" i="13"/>
  <c r="E435" i="13"/>
  <c r="C435" i="13"/>
  <c r="E434" i="13"/>
  <c r="C434" i="13"/>
  <c r="E433" i="13"/>
  <c r="C433" i="13"/>
  <c r="E432" i="13"/>
  <c r="C432" i="13"/>
  <c r="E431" i="13"/>
  <c r="C431" i="13"/>
  <c r="E430" i="13"/>
  <c r="C430" i="13"/>
  <c r="E429" i="13"/>
  <c r="C429" i="13"/>
  <c r="E428" i="13"/>
  <c r="C428" i="13"/>
  <c r="E427" i="13"/>
  <c r="C427" i="13"/>
  <c r="E426" i="13"/>
  <c r="C426" i="13"/>
  <c r="E425" i="13"/>
  <c r="C425" i="13"/>
  <c r="E424" i="13"/>
  <c r="C424" i="13"/>
  <c r="E423" i="13"/>
  <c r="C423" i="13"/>
  <c r="E422" i="13"/>
  <c r="C422" i="13"/>
  <c r="E421" i="13"/>
  <c r="C421" i="13"/>
  <c r="E420" i="13"/>
  <c r="C420" i="13"/>
  <c r="E419" i="13"/>
  <c r="C419" i="13"/>
  <c r="E418" i="13"/>
  <c r="C418" i="13"/>
  <c r="E417" i="13"/>
  <c r="C417" i="13"/>
  <c r="E416" i="13"/>
  <c r="C416" i="13"/>
  <c r="E415" i="13"/>
  <c r="C415" i="13"/>
  <c r="E414" i="13"/>
  <c r="C414" i="13"/>
  <c r="E413" i="13"/>
  <c r="C413" i="13"/>
  <c r="E412" i="13"/>
  <c r="C412" i="13"/>
  <c r="E411" i="13"/>
  <c r="C411" i="13"/>
  <c r="E410" i="13"/>
  <c r="C410" i="13"/>
  <c r="E409" i="13"/>
  <c r="C409" i="13"/>
  <c r="E408" i="13"/>
  <c r="C408" i="13"/>
  <c r="E407" i="13"/>
  <c r="C407" i="13"/>
  <c r="E406" i="13"/>
  <c r="C406" i="13"/>
  <c r="E405" i="13"/>
  <c r="C405" i="13"/>
  <c r="E404" i="13"/>
  <c r="C404" i="13"/>
  <c r="E403" i="13"/>
  <c r="C403" i="13"/>
  <c r="E402" i="13"/>
  <c r="C402" i="13"/>
  <c r="E401" i="13"/>
  <c r="C401" i="13"/>
  <c r="E400" i="13"/>
  <c r="C400" i="13"/>
  <c r="E399" i="13"/>
  <c r="C399" i="13"/>
  <c r="E398" i="13"/>
  <c r="C398" i="13"/>
  <c r="E397" i="13"/>
  <c r="C397" i="13"/>
  <c r="E396" i="13"/>
  <c r="C396" i="13"/>
  <c r="E395" i="13"/>
  <c r="C395" i="13"/>
  <c r="E394" i="13"/>
  <c r="C394" i="13"/>
  <c r="E393" i="13"/>
  <c r="C393" i="13"/>
  <c r="E392" i="13"/>
  <c r="C392" i="13"/>
  <c r="E391" i="13"/>
  <c r="C391" i="13"/>
  <c r="E390" i="13"/>
  <c r="C390" i="13"/>
  <c r="E389" i="13"/>
  <c r="C389" i="13"/>
  <c r="E388" i="13"/>
  <c r="C388" i="13"/>
  <c r="E387" i="13"/>
  <c r="C387" i="13"/>
  <c r="E386" i="13"/>
  <c r="C386" i="13"/>
  <c r="E385" i="13"/>
  <c r="C385" i="13"/>
  <c r="E384" i="13"/>
  <c r="C384" i="13"/>
  <c r="E383" i="13"/>
  <c r="C383" i="13"/>
  <c r="E382" i="13"/>
  <c r="C382" i="13"/>
  <c r="E381" i="13"/>
  <c r="C381" i="13"/>
  <c r="E380" i="13"/>
  <c r="C380" i="13"/>
  <c r="E379" i="13"/>
  <c r="C379" i="13"/>
  <c r="E378" i="13"/>
  <c r="C378" i="13"/>
  <c r="E377" i="13"/>
  <c r="C377" i="13"/>
  <c r="E376" i="13"/>
  <c r="C376" i="13"/>
  <c r="E375" i="13"/>
  <c r="C375" i="13"/>
  <c r="E374" i="13"/>
  <c r="C374" i="13"/>
  <c r="E373" i="13"/>
  <c r="C373" i="13"/>
  <c r="E372" i="13"/>
  <c r="C372" i="13"/>
  <c r="E371" i="13"/>
  <c r="C371" i="13"/>
  <c r="E370" i="13"/>
  <c r="C370" i="13"/>
  <c r="E369" i="13"/>
  <c r="C369" i="13"/>
  <c r="E368" i="13"/>
  <c r="C368" i="13"/>
  <c r="E367" i="13"/>
  <c r="C367" i="13"/>
  <c r="E366" i="13"/>
  <c r="C366" i="13"/>
  <c r="E365" i="13"/>
  <c r="C365" i="13"/>
  <c r="E364" i="13"/>
  <c r="C364" i="13"/>
  <c r="E363" i="13"/>
  <c r="C363" i="13"/>
  <c r="E362" i="13"/>
  <c r="C362" i="13"/>
  <c r="E361" i="13"/>
  <c r="C361" i="13"/>
  <c r="E360" i="13"/>
  <c r="C360" i="13"/>
  <c r="E359" i="13"/>
  <c r="C359" i="13"/>
  <c r="E358" i="13"/>
  <c r="C358" i="13"/>
  <c r="E357" i="13"/>
  <c r="C357" i="13"/>
  <c r="E356" i="13"/>
  <c r="C356" i="13"/>
  <c r="E355" i="13"/>
  <c r="C355" i="13"/>
  <c r="E354" i="13"/>
  <c r="C354" i="13"/>
  <c r="E353" i="13"/>
  <c r="C353" i="13"/>
  <c r="E352" i="13"/>
  <c r="C352" i="13"/>
  <c r="E351" i="13"/>
  <c r="C351" i="13"/>
  <c r="E350" i="13"/>
  <c r="C350" i="13"/>
  <c r="E349" i="13"/>
  <c r="C349" i="13"/>
  <c r="E348" i="13"/>
  <c r="C348" i="13"/>
  <c r="E347" i="13"/>
  <c r="C347" i="13"/>
  <c r="E346" i="13"/>
  <c r="C346" i="13"/>
  <c r="E345" i="13"/>
  <c r="C345" i="13"/>
  <c r="E344" i="13"/>
  <c r="C344" i="13"/>
  <c r="E343" i="13"/>
  <c r="C343" i="13"/>
  <c r="E342" i="13"/>
  <c r="C342" i="13"/>
  <c r="E341" i="13"/>
  <c r="C341" i="13"/>
  <c r="E340" i="13"/>
  <c r="C340" i="13"/>
  <c r="E339" i="13"/>
  <c r="C339" i="13"/>
  <c r="E338" i="13"/>
  <c r="C338" i="13"/>
  <c r="E337" i="13"/>
  <c r="C337" i="13"/>
  <c r="E336" i="13"/>
  <c r="C336" i="13"/>
  <c r="E335" i="13"/>
  <c r="C335" i="13"/>
  <c r="E334" i="13"/>
  <c r="C334" i="13"/>
  <c r="E333" i="13"/>
  <c r="C333" i="13"/>
  <c r="E332" i="13"/>
  <c r="C332" i="13"/>
  <c r="E331" i="13"/>
  <c r="C331" i="13"/>
  <c r="E330" i="13"/>
  <c r="C330" i="13"/>
  <c r="E329" i="13"/>
  <c r="C329" i="13"/>
  <c r="E328" i="13"/>
  <c r="C328" i="13"/>
  <c r="E327" i="13"/>
  <c r="C327" i="13"/>
  <c r="E326" i="13"/>
  <c r="C326" i="13"/>
  <c r="E325" i="13"/>
  <c r="C325" i="13"/>
  <c r="E324" i="13"/>
  <c r="C324" i="13"/>
  <c r="E323" i="13"/>
  <c r="C323" i="13"/>
  <c r="E322" i="13"/>
  <c r="C322" i="13"/>
  <c r="E321" i="13"/>
  <c r="C321" i="13"/>
  <c r="E320" i="13"/>
  <c r="C320" i="13"/>
  <c r="E319" i="13"/>
  <c r="C319" i="13"/>
  <c r="E318" i="13"/>
  <c r="C318" i="13"/>
  <c r="E317" i="13"/>
  <c r="C317" i="13"/>
  <c r="E316" i="13"/>
  <c r="C316" i="13"/>
  <c r="E315" i="13"/>
  <c r="C315" i="13"/>
  <c r="E314" i="13"/>
  <c r="C314" i="13"/>
  <c r="E313" i="13"/>
  <c r="C313" i="13"/>
  <c r="E312" i="13"/>
  <c r="C312" i="13"/>
  <c r="E311" i="13"/>
  <c r="C311" i="13"/>
  <c r="E310" i="13"/>
  <c r="C310" i="13"/>
  <c r="E309" i="13"/>
  <c r="C309" i="13"/>
  <c r="E308" i="13"/>
  <c r="C308" i="13"/>
  <c r="E307" i="13"/>
  <c r="C307" i="13"/>
  <c r="E306" i="13"/>
  <c r="C306" i="13"/>
  <c r="E305" i="13"/>
  <c r="C305" i="13"/>
  <c r="E304" i="13"/>
  <c r="C304" i="13"/>
  <c r="E303" i="13"/>
  <c r="C303" i="13"/>
  <c r="E302" i="13"/>
  <c r="C302" i="13"/>
  <c r="E301" i="13"/>
  <c r="C301" i="13"/>
  <c r="E300" i="13"/>
  <c r="C300" i="13"/>
  <c r="E299" i="13"/>
  <c r="C299" i="13"/>
  <c r="E298" i="13"/>
  <c r="C298" i="13"/>
  <c r="E297" i="13"/>
  <c r="C297" i="13"/>
  <c r="E296" i="13"/>
  <c r="C296" i="13"/>
  <c r="E295" i="13"/>
  <c r="C295" i="13"/>
  <c r="E294" i="13"/>
  <c r="C294" i="13"/>
  <c r="E293" i="13"/>
  <c r="C293" i="13"/>
  <c r="E292" i="13"/>
  <c r="C292" i="13"/>
  <c r="E291" i="13"/>
  <c r="C291" i="13"/>
  <c r="E290" i="13"/>
  <c r="C290" i="13"/>
  <c r="E289" i="13"/>
  <c r="C289" i="13"/>
  <c r="E288" i="13"/>
  <c r="C288" i="13"/>
  <c r="E287" i="13"/>
  <c r="C287" i="13"/>
  <c r="E286" i="13"/>
  <c r="C286" i="13"/>
  <c r="E285" i="13"/>
  <c r="C285" i="13"/>
  <c r="E284" i="13"/>
  <c r="C284" i="13"/>
  <c r="E283" i="13"/>
  <c r="C283" i="13"/>
  <c r="E282" i="13"/>
  <c r="C282" i="13"/>
  <c r="E281" i="13"/>
  <c r="C281" i="13"/>
  <c r="E280" i="13"/>
  <c r="C280" i="13"/>
  <c r="E279" i="13"/>
  <c r="C279" i="13"/>
  <c r="E278" i="13"/>
  <c r="C278" i="13"/>
  <c r="E277" i="13"/>
  <c r="C277" i="13"/>
  <c r="E276" i="13"/>
  <c r="C276" i="13"/>
  <c r="E275" i="13"/>
  <c r="C275" i="13"/>
  <c r="E274" i="13"/>
  <c r="C274" i="13"/>
  <c r="E273" i="13"/>
  <c r="C273" i="13"/>
  <c r="E272" i="13"/>
  <c r="C272" i="13"/>
  <c r="E271" i="13"/>
  <c r="C271" i="13"/>
  <c r="E270" i="13"/>
  <c r="C270" i="13"/>
  <c r="E269" i="13"/>
  <c r="C269" i="13"/>
  <c r="E268" i="13"/>
  <c r="C268" i="13"/>
  <c r="E267" i="13"/>
  <c r="C267" i="13"/>
  <c r="E266" i="13"/>
  <c r="C266" i="13"/>
  <c r="E265" i="13"/>
  <c r="C265" i="13"/>
  <c r="E264" i="13"/>
  <c r="C264" i="13"/>
  <c r="E263" i="13"/>
  <c r="C263" i="13"/>
  <c r="E262" i="13"/>
  <c r="C262" i="13"/>
  <c r="E261" i="13"/>
  <c r="C261" i="13"/>
  <c r="E260" i="13"/>
  <c r="C260" i="13"/>
  <c r="E259" i="13"/>
  <c r="C259" i="13"/>
  <c r="E258" i="13"/>
  <c r="C258" i="13"/>
  <c r="E257" i="13"/>
  <c r="C257" i="13"/>
  <c r="E256" i="13"/>
  <c r="C256" i="13"/>
  <c r="E255" i="13"/>
  <c r="C255" i="13"/>
  <c r="E254" i="13"/>
  <c r="C254" i="13"/>
  <c r="E253" i="13"/>
  <c r="C253" i="13"/>
  <c r="E252" i="13"/>
  <c r="C252" i="13"/>
  <c r="E251" i="13"/>
  <c r="C251" i="13"/>
  <c r="E250" i="13"/>
  <c r="C250" i="13"/>
  <c r="E249" i="13"/>
  <c r="C249" i="13"/>
  <c r="E248" i="13"/>
  <c r="C248" i="13"/>
  <c r="E247" i="13"/>
  <c r="C247" i="13"/>
  <c r="E246" i="13"/>
  <c r="C246" i="13"/>
  <c r="E245" i="13"/>
  <c r="C245" i="13"/>
  <c r="E244" i="13"/>
  <c r="C244" i="13"/>
  <c r="E243" i="13"/>
  <c r="C243" i="13"/>
  <c r="E242" i="13"/>
  <c r="C242" i="13"/>
  <c r="E241" i="13"/>
  <c r="C241" i="13"/>
  <c r="E240" i="13"/>
  <c r="C240" i="13"/>
  <c r="E239" i="13"/>
  <c r="C239" i="13"/>
  <c r="E238" i="13"/>
  <c r="C238" i="13"/>
  <c r="E237" i="13"/>
  <c r="C237" i="13"/>
  <c r="E236" i="13"/>
  <c r="C236" i="13"/>
  <c r="E235" i="13"/>
  <c r="C235" i="13"/>
  <c r="E234" i="13"/>
  <c r="C234" i="13"/>
  <c r="E233" i="13"/>
  <c r="C233" i="13"/>
  <c r="E232" i="13"/>
  <c r="C232" i="13"/>
  <c r="E231" i="13"/>
  <c r="C231" i="13"/>
  <c r="E230" i="13"/>
  <c r="C230" i="13"/>
  <c r="E229" i="13"/>
  <c r="C229" i="13"/>
  <c r="E228" i="13"/>
  <c r="C228" i="13"/>
  <c r="E227" i="13"/>
  <c r="C227" i="13"/>
  <c r="E226" i="13"/>
  <c r="C226" i="13"/>
  <c r="E225" i="13"/>
  <c r="C225" i="13"/>
  <c r="E224" i="13"/>
  <c r="C224" i="13"/>
  <c r="E223" i="13"/>
  <c r="C223" i="13"/>
  <c r="E222" i="13"/>
  <c r="C222" i="13"/>
  <c r="E221" i="13"/>
  <c r="C221" i="13"/>
  <c r="E220" i="13"/>
  <c r="C220" i="13"/>
  <c r="E219" i="13"/>
  <c r="C219" i="13"/>
  <c r="E218" i="13"/>
  <c r="C218" i="13"/>
  <c r="E217" i="13"/>
  <c r="C217" i="13"/>
  <c r="E216" i="13"/>
  <c r="C216" i="13"/>
  <c r="E215" i="13"/>
  <c r="C215" i="13"/>
  <c r="E214" i="13"/>
  <c r="C214" i="13"/>
  <c r="E213" i="13"/>
  <c r="C213" i="13"/>
  <c r="E212" i="13"/>
  <c r="C212" i="13"/>
  <c r="E211" i="13"/>
  <c r="C211" i="13"/>
  <c r="E210" i="13"/>
  <c r="C210" i="13"/>
  <c r="E209" i="13"/>
  <c r="C209" i="13"/>
  <c r="E208" i="13"/>
  <c r="C208" i="13"/>
  <c r="E207" i="13"/>
  <c r="C207" i="13"/>
  <c r="E206" i="13"/>
  <c r="C206" i="13"/>
  <c r="E205" i="13"/>
  <c r="C205" i="13"/>
  <c r="E204" i="13"/>
  <c r="C204" i="13"/>
  <c r="E203" i="13"/>
  <c r="C203" i="13"/>
  <c r="E202" i="13"/>
  <c r="C202" i="13"/>
  <c r="E201" i="13"/>
  <c r="C201" i="13"/>
  <c r="E200" i="13"/>
  <c r="C200" i="13"/>
  <c r="E199" i="13"/>
  <c r="C199" i="13"/>
  <c r="E198" i="13"/>
  <c r="C198" i="13"/>
  <c r="E197" i="13"/>
  <c r="C197" i="13"/>
  <c r="E196" i="13"/>
  <c r="C196" i="13"/>
  <c r="E195" i="13"/>
  <c r="C195" i="13"/>
  <c r="E194" i="13"/>
  <c r="C194" i="13"/>
  <c r="E193" i="13"/>
  <c r="C193" i="13"/>
  <c r="E192" i="13"/>
  <c r="C192" i="13"/>
  <c r="E191" i="13"/>
  <c r="C191" i="13"/>
  <c r="E190" i="13"/>
  <c r="C190" i="13"/>
  <c r="E189" i="13"/>
  <c r="C189" i="13"/>
  <c r="E188" i="13"/>
  <c r="C188" i="13"/>
  <c r="E187" i="13"/>
  <c r="C187" i="13"/>
  <c r="E186" i="13"/>
  <c r="C186" i="13"/>
  <c r="E185" i="13"/>
  <c r="C185" i="13"/>
  <c r="E184" i="13"/>
  <c r="C184" i="13"/>
  <c r="E183" i="13"/>
  <c r="C183" i="13"/>
  <c r="E182" i="13"/>
  <c r="C182" i="13"/>
  <c r="E181" i="13"/>
  <c r="C181" i="13"/>
  <c r="E180" i="13"/>
  <c r="C180" i="13"/>
  <c r="E179" i="13"/>
  <c r="C179" i="13"/>
  <c r="E178" i="13"/>
  <c r="C178" i="13"/>
  <c r="E177" i="13"/>
  <c r="C177" i="13"/>
  <c r="E176" i="13"/>
  <c r="C176" i="13"/>
  <c r="E175" i="13"/>
  <c r="C175" i="13"/>
  <c r="E174" i="13"/>
  <c r="C174" i="13"/>
  <c r="E173" i="13"/>
  <c r="C173" i="13"/>
  <c r="E172" i="13"/>
  <c r="C172" i="13"/>
  <c r="E171" i="13"/>
  <c r="C171" i="13"/>
  <c r="E170" i="13"/>
  <c r="C170" i="13"/>
  <c r="E169" i="13"/>
  <c r="C169" i="13"/>
  <c r="E168" i="13"/>
  <c r="C168" i="13"/>
  <c r="E167" i="13"/>
  <c r="C167" i="13"/>
  <c r="E166" i="13"/>
  <c r="C166" i="13"/>
  <c r="E165" i="13"/>
  <c r="C165" i="13"/>
  <c r="E164" i="13"/>
  <c r="C164" i="13"/>
  <c r="E163" i="13"/>
  <c r="C163" i="13"/>
  <c r="E162" i="13"/>
  <c r="C162" i="13"/>
  <c r="E161" i="13"/>
  <c r="C161" i="13"/>
  <c r="E160" i="13"/>
  <c r="C160" i="13"/>
  <c r="E159" i="13"/>
  <c r="C159" i="13"/>
  <c r="E158" i="13"/>
  <c r="C158" i="13"/>
  <c r="E157" i="13"/>
  <c r="C157" i="13"/>
  <c r="E156" i="13"/>
  <c r="C156" i="13"/>
  <c r="E155" i="13"/>
  <c r="C155" i="13"/>
  <c r="E154" i="13"/>
  <c r="C154" i="13"/>
  <c r="E153" i="13"/>
  <c r="C153" i="13"/>
  <c r="E152" i="13"/>
  <c r="C152" i="13"/>
  <c r="E151" i="13"/>
  <c r="C151" i="13"/>
  <c r="E150" i="13"/>
  <c r="C150" i="13"/>
  <c r="E149" i="13"/>
  <c r="C149" i="13"/>
  <c r="E148" i="13"/>
  <c r="C148" i="13"/>
  <c r="E147" i="13"/>
  <c r="C147" i="13"/>
  <c r="E146" i="13"/>
  <c r="C146" i="13"/>
  <c r="E145" i="13"/>
  <c r="C145" i="13"/>
  <c r="E144" i="13"/>
  <c r="C144" i="13"/>
  <c r="E143" i="13"/>
  <c r="C143" i="13"/>
  <c r="E142" i="13"/>
  <c r="C142" i="13"/>
  <c r="E141" i="13"/>
  <c r="C141" i="13"/>
  <c r="E140" i="13"/>
  <c r="C140" i="13"/>
  <c r="E139" i="13"/>
  <c r="C139" i="13"/>
  <c r="E138" i="13"/>
  <c r="C138" i="13"/>
  <c r="E137" i="13"/>
  <c r="C137" i="13"/>
  <c r="E136" i="13"/>
  <c r="C136" i="13"/>
  <c r="E135" i="13"/>
  <c r="C135" i="13"/>
  <c r="E134" i="13"/>
  <c r="C134" i="13"/>
  <c r="E133" i="13"/>
  <c r="C133" i="13"/>
  <c r="E132" i="13"/>
  <c r="C132" i="13"/>
  <c r="E131" i="13"/>
  <c r="C131" i="13"/>
  <c r="E130" i="13"/>
  <c r="C130" i="13"/>
  <c r="E129" i="13"/>
  <c r="C129" i="13"/>
  <c r="E128" i="13"/>
  <c r="C128" i="13"/>
  <c r="E127" i="13"/>
  <c r="C127" i="13"/>
  <c r="E126" i="13"/>
  <c r="C126" i="13"/>
  <c r="E125" i="13"/>
  <c r="C125" i="13"/>
  <c r="E124" i="13"/>
  <c r="C124" i="13"/>
  <c r="E123" i="13"/>
  <c r="C123" i="13"/>
  <c r="E122" i="13"/>
  <c r="C122" i="13"/>
  <c r="E121" i="13"/>
  <c r="C121" i="13"/>
  <c r="E120" i="13"/>
  <c r="C120" i="13"/>
  <c r="E119" i="13"/>
  <c r="C119" i="13"/>
  <c r="E118" i="13"/>
  <c r="C118" i="13"/>
  <c r="E117" i="13"/>
  <c r="C117" i="13"/>
  <c r="E116" i="13"/>
  <c r="C116" i="13"/>
  <c r="E115" i="13"/>
  <c r="C115" i="13"/>
  <c r="E114" i="13"/>
  <c r="C114" i="13"/>
  <c r="E113" i="13"/>
  <c r="C113" i="13"/>
  <c r="E112" i="13"/>
  <c r="C112" i="13"/>
  <c r="E111" i="13"/>
  <c r="C111" i="13"/>
  <c r="E110" i="13"/>
  <c r="C110" i="13"/>
  <c r="E109" i="13"/>
  <c r="C109" i="13"/>
  <c r="E108" i="13"/>
  <c r="C108" i="13"/>
  <c r="E107" i="13"/>
  <c r="C107" i="13"/>
  <c r="E106" i="13"/>
  <c r="C106" i="13"/>
  <c r="E105" i="13"/>
  <c r="C105" i="13"/>
  <c r="E104" i="13"/>
  <c r="C104" i="13"/>
  <c r="E103" i="13"/>
  <c r="C103" i="13"/>
  <c r="E102" i="13"/>
  <c r="C102" i="13"/>
  <c r="E101" i="13"/>
  <c r="C101" i="13"/>
  <c r="E100" i="13"/>
  <c r="C100" i="13"/>
  <c r="E99" i="13"/>
  <c r="C99" i="13"/>
  <c r="E98" i="13"/>
  <c r="C98" i="13"/>
  <c r="E97" i="13"/>
  <c r="C97" i="13"/>
  <c r="E96" i="13"/>
  <c r="C96" i="13"/>
  <c r="E95" i="13"/>
  <c r="C95" i="13"/>
  <c r="E94" i="13"/>
  <c r="C94" i="13"/>
  <c r="E93" i="13"/>
  <c r="C93" i="13"/>
  <c r="E92" i="13"/>
  <c r="C92" i="13"/>
  <c r="E91" i="13"/>
  <c r="C91" i="13"/>
  <c r="E90" i="13"/>
  <c r="C90" i="13"/>
  <c r="E89" i="13"/>
  <c r="C89" i="13"/>
  <c r="E88" i="13"/>
  <c r="C88" i="13"/>
  <c r="E87" i="13"/>
  <c r="C87" i="13"/>
  <c r="E86" i="13"/>
  <c r="C86" i="13"/>
  <c r="E85" i="13"/>
  <c r="C85" i="13"/>
  <c r="E84" i="13"/>
  <c r="C84" i="13"/>
  <c r="E83" i="13"/>
  <c r="C83" i="13"/>
  <c r="E82" i="13"/>
  <c r="C82" i="13"/>
  <c r="E81" i="13"/>
  <c r="C81" i="13"/>
  <c r="E80" i="13"/>
  <c r="C80" i="13"/>
  <c r="E79" i="13"/>
  <c r="C79" i="13"/>
  <c r="E78" i="13"/>
  <c r="C78" i="13"/>
  <c r="E77" i="13"/>
  <c r="C77" i="13"/>
  <c r="E76" i="13"/>
  <c r="C76" i="13"/>
  <c r="E75" i="13"/>
  <c r="C75" i="13"/>
  <c r="E74" i="13"/>
  <c r="C74" i="13"/>
  <c r="E73" i="13"/>
  <c r="C73" i="13"/>
  <c r="E72" i="13"/>
  <c r="C72" i="13"/>
  <c r="E71" i="13"/>
  <c r="C71" i="13"/>
  <c r="E70" i="13"/>
  <c r="C70" i="13"/>
  <c r="E69" i="13"/>
  <c r="C69" i="13"/>
  <c r="E68" i="13"/>
  <c r="C68" i="13"/>
  <c r="E67" i="13"/>
  <c r="C67" i="13"/>
  <c r="E66" i="13"/>
  <c r="C66" i="13"/>
  <c r="E65" i="13"/>
  <c r="C65" i="13"/>
  <c r="E64" i="13"/>
  <c r="C64" i="13"/>
  <c r="E63" i="13"/>
  <c r="C63" i="13"/>
  <c r="E62" i="13"/>
  <c r="C62" i="13"/>
  <c r="E61" i="13"/>
  <c r="C61" i="13"/>
  <c r="E60" i="13"/>
  <c r="C60" i="13"/>
  <c r="E59" i="13"/>
  <c r="C59" i="13"/>
  <c r="E58" i="13"/>
  <c r="C58" i="13"/>
  <c r="E57" i="13"/>
  <c r="C57" i="13"/>
  <c r="E56" i="13"/>
  <c r="C56" i="13"/>
  <c r="E55" i="13"/>
  <c r="C55" i="13"/>
  <c r="E54" i="13"/>
  <c r="C54" i="13"/>
  <c r="E53" i="13"/>
  <c r="C53" i="13"/>
  <c r="E52" i="13"/>
  <c r="C52" i="13"/>
  <c r="E51" i="13"/>
  <c r="C51" i="13"/>
  <c r="E50" i="13"/>
  <c r="C50" i="13"/>
  <c r="E49" i="13"/>
  <c r="C49" i="13"/>
  <c r="E48" i="13"/>
  <c r="C48" i="13"/>
  <c r="E47" i="13"/>
  <c r="C47" i="13"/>
  <c r="E46" i="13"/>
  <c r="C46" i="13"/>
  <c r="E45" i="13"/>
  <c r="C45" i="13"/>
  <c r="E44" i="13"/>
  <c r="C44" i="13"/>
  <c r="E43" i="13"/>
  <c r="C43" i="13"/>
  <c r="E42" i="13"/>
  <c r="C42" i="13"/>
  <c r="E41" i="13"/>
  <c r="C41" i="13"/>
  <c r="E40" i="13"/>
  <c r="C40" i="13"/>
  <c r="E39" i="13"/>
  <c r="C39" i="13"/>
  <c r="E38" i="13"/>
  <c r="C38" i="13"/>
  <c r="E37" i="13"/>
  <c r="C37" i="13"/>
  <c r="E36" i="13"/>
  <c r="C36" i="13"/>
  <c r="E35" i="13"/>
  <c r="C35" i="13"/>
  <c r="E34" i="13"/>
  <c r="C34" i="13"/>
  <c r="E33" i="13"/>
  <c r="C33" i="13"/>
  <c r="E32" i="13"/>
  <c r="C32" i="13"/>
  <c r="E31" i="13"/>
  <c r="C31" i="13"/>
  <c r="E30" i="13"/>
  <c r="C30" i="13"/>
  <c r="E29" i="13"/>
  <c r="C29" i="13"/>
  <c r="E28" i="13"/>
  <c r="C28" i="13"/>
  <c r="E27" i="13"/>
  <c r="C27" i="13"/>
  <c r="E26" i="13"/>
  <c r="C26" i="13"/>
  <c r="E25" i="13"/>
  <c r="C25" i="13"/>
  <c r="E24" i="13"/>
  <c r="C24" i="13"/>
  <c r="E23" i="13"/>
  <c r="C23" i="13"/>
  <c r="E22" i="13"/>
  <c r="C22" i="13"/>
  <c r="E21" i="13"/>
  <c r="C21" i="13"/>
  <c r="E20" i="13"/>
  <c r="C20" i="13"/>
  <c r="E19" i="13"/>
  <c r="C19" i="13"/>
  <c r="E18" i="13"/>
  <c r="C18" i="13"/>
  <c r="E17" i="13"/>
  <c r="C17" i="13"/>
  <c r="E16" i="13"/>
  <c r="C16" i="13"/>
  <c r="E15" i="13"/>
  <c r="C15" i="13"/>
  <c r="E14" i="13"/>
  <c r="C14" i="13"/>
  <c r="E13" i="13"/>
  <c r="C13" i="13"/>
  <c r="E12" i="13"/>
  <c r="C12" i="13"/>
  <c r="E11" i="13"/>
  <c r="C11" i="13"/>
  <c r="E10" i="13"/>
  <c r="C10" i="13"/>
  <c r="E9" i="13"/>
  <c r="C9" i="13"/>
  <c r="E8" i="13"/>
  <c r="C8" i="13"/>
  <c r="E7" i="13"/>
  <c r="C7" i="13"/>
  <c r="E6" i="13"/>
  <c r="C6" i="13"/>
  <c r="E5" i="13"/>
  <c r="C5" i="13"/>
  <c r="E4" i="13"/>
  <c r="C4" i="13"/>
  <c r="E3" i="13"/>
  <c r="C3" i="13"/>
  <c r="E2" i="13"/>
  <c r="C2" i="13"/>
  <c r="E66" i="12"/>
  <c r="C66" i="12"/>
  <c r="E65" i="12"/>
  <c r="C65" i="12"/>
  <c r="E64" i="12"/>
  <c r="C64" i="12"/>
  <c r="E63" i="12"/>
  <c r="C63" i="12"/>
  <c r="E62" i="12"/>
  <c r="C62" i="12"/>
  <c r="E61" i="12"/>
  <c r="C61" i="12"/>
  <c r="E60" i="12"/>
  <c r="C60" i="12"/>
  <c r="E59" i="12"/>
  <c r="C59" i="12"/>
  <c r="E58" i="12"/>
  <c r="C58" i="12"/>
  <c r="E57" i="12"/>
  <c r="C57" i="12"/>
  <c r="E56" i="12"/>
  <c r="C56" i="12"/>
  <c r="E55" i="12"/>
  <c r="C55" i="12"/>
  <c r="E54" i="12"/>
  <c r="C54" i="12"/>
  <c r="E53" i="12"/>
  <c r="C53" i="12"/>
  <c r="E52" i="12"/>
  <c r="C52" i="12"/>
  <c r="E51" i="12"/>
  <c r="C51" i="12"/>
  <c r="E50" i="12"/>
  <c r="C50" i="12"/>
  <c r="E49" i="12"/>
  <c r="C49" i="12"/>
  <c r="E48" i="12"/>
  <c r="C48" i="12"/>
  <c r="E47" i="12"/>
  <c r="C47" i="12"/>
  <c r="E46" i="12"/>
  <c r="C46" i="12"/>
  <c r="E45" i="12"/>
  <c r="C45" i="12"/>
  <c r="E44" i="12"/>
  <c r="C44" i="12"/>
  <c r="E43" i="12"/>
  <c r="C43" i="12"/>
  <c r="E42" i="12"/>
  <c r="C42" i="12"/>
  <c r="E41" i="12"/>
  <c r="C41" i="12"/>
  <c r="E40" i="12"/>
  <c r="C40" i="12"/>
  <c r="E39" i="12"/>
  <c r="C39" i="12"/>
  <c r="E38" i="12"/>
  <c r="C38" i="12"/>
  <c r="E37" i="12"/>
  <c r="C37" i="12"/>
  <c r="E36" i="12"/>
  <c r="C36" i="12"/>
  <c r="E35" i="12"/>
  <c r="C35" i="12"/>
  <c r="E34" i="12"/>
  <c r="C34" i="12"/>
  <c r="E33" i="12"/>
  <c r="C33" i="12"/>
  <c r="E32" i="12"/>
  <c r="C32" i="12"/>
  <c r="E31" i="12"/>
  <c r="C31" i="12"/>
  <c r="E30" i="12"/>
  <c r="C30" i="12"/>
  <c r="E29" i="12"/>
  <c r="C29" i="12"/>
  <c r="E28" i="12"/>
  <c r="C28" i="12"/>
  <c r="E27" i="12"/>
  <c r="C27" i="12"/>
  <c r="E26" i="12"/>
  <c r="C26" i="12"/>
  <c r="E25" i="12"/>
  <c r="C25" i="12"/>
  <c r="E24" i="12"/>
  <c r="C24" i="12"/>
  <c r="E23" i="12"/>
  <c r="C23" i="12"/>
  <c r="E22" i="12"/>
  <c r="C22" i="12"/>
  <c r="E21" i="12"/>
  <c r="C21" i="12"/>
  <c r="E20" i="12"/>
  <c r="C20" i="12"/>
  <c r="E19" i="12"/>
  <c r="C19" i="12"/>
  <c r="E18" i="12"/>
  <c r="C18" i="12"/>
  <c r="E17" i="12"/>
  <c r="C17" i="12"/>
  <c r="E16" i="12"/>
  <c r="C16" i="12"/>
  <c r="E15" i="12"/>
  <c r="C15" i="12"/>
  <c r="E14" i="12"/>
  <c r="C14" i="12"/>
  <c r="E13" i="12"/>
  <c r="C13" i="12"/>
  <c r="E12" i="12"/>
  <c r="C12" i="12"/>
  <c r="E11" i="12"/>
  <c r="C11" i="12"/>
  <c r="E10" i="12"/>
  <c r="C10" i="12"/>
  <c r="E9" i="12"/>
  <c r="C9" i="12"/>
  <c r="E8" i="12"/>
  <c r="C8" i="12"/>
  <c r="E7" i="12"/>
  <c r="C7" i="12"/>
  <c r="E6" i="12"/>
  <c r="C6" i="12"/>
  <c r="E5" i="12"/>
  <c r="C5" i="12"/>
  <c r="E4" i="12"/>
  <c r="C4" i="12"/>
  <c r="E3" i="12"/>
  <c r="C3" i="12"/>
  <c r="E2" i="12"/>
  <c r="C2" i="12"/>
  <c r="E224" i="11"/>
  <c r="C224" i="11"/>
  <c r="E223" i="11"/>
  <c r="C223" i="11"/>
  <c r="E222" i="11"/>
  <c r="C222" i="11"/>
  <c r="E221" i="11"/>
  <c r="C221" i="11"/>
  <c r="E220" i="11"/>
  <c r="C220" i="11"/>
  <c r="E219" i="11"/>
  <c r="C219" i="11"/>
  <c r="E218" i="11"/>
  <c r="C218" i="11"/>
  <c r="E217" i="11"/>
  <c r="C217" i="11"/>
  <c r="E216" i="11"/>
  <c r="C216" i="11"/>
  <c r="E215" i="11"/>
  <c r="C215" i="11"/>
  <c r="E214" i="11"/>
  <c r="C214" i="11"/>
  <c r="E213" i="11"/>
  <c r="C213" i="11"/>
  <c r="E212" i="11"/>
  <c r="C212" i="11"/>
  <c r="E211" i="11"/>
  <c r="C211" i="11"/>
  <c r="E210" i="11"/>
  <c r="C210" i="11"/>
  <c r="E209" i="11"/>
  <c r="C209" i="11"/>
  <c r="E208" i="11"/>
  <c r="C208" i="11"/>
  <c r="E207" i="11"/>
  <c r="C207" i="11"/>
  <c r="E206" i="11"/>
  <c r="C206" i="11"/>
  <c r="E205" i="11"/>
  <c r="C205" i="11"/>
  <c r="E204" i="11"/>
  <c r="C204" i="11"/>
  <c r="E203" i="11"/>
  <c r="C203" i="11"/>
  <c r="E202" i="11"/>
  <c r="C202" i="11"/>
  <c r="E201" i="11"/>
  <c r="C201" i="11"/>
  <c r="E200" i="11"/>
  <c r="C200" i="11"/>
  <c r="E199" i="11"/>
  <c r="C199" i="11"/>
  <c r="E198" i="11"/>
  <c r="C198" i="11"/>
  <c r="E197" i="11"/>
  <c r="C197" i="11"/>
  <c r="E196" i="11"/>
  <c r="C196" i="11"/>
  <c r="E195" i="11"/>
  <c r="C195" i="11"/>
  <c r="E194" i="11"/>
  <c r="C194" i="11"/>
  <c r="E193" i="11"/>
  <c r="C193" i="11"/>
  <c r="E192" i="11"/>
  <c r="C192" i="11"/>
  <c r="E191" i="11"/>
  <c r="C191" i="11"/>
  <c r="E190" i="11"/>
  <c r="C190" i="11"/>
  <c r="E189" i="11"/>
  <c r="C189" i="11"/>
  <c r="E188" i="11"/>
  <c r="C188" i="11"/>
  <c r="E187" i="11"/>
  <c r="C187" i="11"/>
  <c r="E186" i="11"/>
  <c r="C186" i="11"/>
  <c r="E185" i="11"/>
  <c r="C185" i="11"/>
  <c r="E184" i="11"/>
  <c r="C184" i="11"/>
  <c r="E183" i="11"/>
  <c r="C183" i="11"/>
  <c r="E182" i="11"/>
  <c r="C182" i="11"/>
  <c r="E181" i="11"/>
  <c r="C181" i="11"/>
  <c r="E180" i="11"/>
  <c r="C180" i="11"/>
  <c r="E179" i="11"/>
  <c r="C179" i="11"/>
  <c r="E178" i="11"/>
  <c r="C178" i="11"/>
  <c r="E177" i="11"/>
  <c r="C177" i="11"/>
  <c r="E176" i="11"/>
  <c r="C176" i="11"/>
  <c r="E175" i="11"/>
  <c r="C175" i="11"/>
  <c r="E174" i="11"/>
  <c r="C174" i="11"/>
  <c r="E173" i="11"/>
  <c r="C173" i="11"/>
  <c r="E172" i="11"/>
  <c r="C172" i="11"/>
  <c r="E171" i="11"/>
  <c r="C171" i="11"/>
  <c r="E170" i="11"/>
  <c r="C170" i="11"/>
  <c r="E169" i="11"/>
  <c r="C169" i="11"/>
  <c r="E168" i="11"/>
  <c r="C168" i="11"/>
  <c r="E167" i="11"/>
  <c r="C167" i="11"/>
  <c r="E166" i="11"/>
  <c r="C166" i="11"/>
  <c r="E165" i="11"/>
  <c r="C165" i="11"/>
  <c r="E164" i="11"/>
  <c r="C164" i="11"/>
  <c r="E163" i="11"/>
  <c r="C163" i="11"/>
  <c r="E162" i="11"/>
  <c r="C162" i="11"/>
  <c r="E161" i="11"/>
  <c r="C161" i="11"/>
  <c r="E160" i="11"/>
  <c r="C160" i="11"/>
  <c r="E159" i="11"/>
  <c r="C159" i="11"/>
  <c r="E158" i="11"/>
  <c r="C158" i="11"/>
  <c r="E157" i="11"/>
  <c r="C157" i="11"/>
  <c r="E156" i="11"/>
  <c r="C156" i="11"/>
  <c r="E155" i="11"/>
  <c r="C155" i="11"/>
  <c r="E154" i="11"/>
  <c r="C154" i="11"/>
  <c r="E153" i="11"/>
  <c r="C153" i="11"/>
  <c r="E152" i="11"/>
  <c r="C152" i="11"/>
  <c r="E151" i="11"/>
  <c r="C151" i="11"/>
  <c r="E150" i="11"/>
  <c r="C150" i="11"/>
  <c r="E149" i="11"/>
  <c r="C149" i="11"/>
  <c r="E148" i="11"/>
  <c r="C148" i="11"/>
  <c r="E147" i="11"/>
  <c r="C147" i="11"/>
  <c r="E146" i="11"/>
  <c r="C146" i="11"/>
  <c r="E145" i="11"/>
  <c r="C145" i="11"/>
  <c r="E144" i="11"/>
  <c r="C144" i="11"/>
  <c r="E143" i="11"/>
  <c r="C143" i="11"/>
  <c r="E142" i="11"/>
  <c r="C142" i="11"/>
  <c r="E141" i="11"/>
  <c r="C141" i="11"/>
  <c r="E140" i="11"/>
  <c r="C140" i="11"/>
  <c r="E139" i="11"/>
  <c r="C139" i="11"/>
  <c r="E138" i="11"/>
  <c r="C138" i="11"/>
  <c r="E137" i="11"/>
  <c r="C137" i="11"/>
  <c r="E136" i="11"/>
  <c r="C136" i="11"/>
  <c r="E135" i="11"/>
  <c r="C135" i="11"/>
  <c r="E134" i="11"/>
  <c r="C134" i="11"/>
  <c r="E133" i="11"/>
  <c r="C133" i="11"/>
  <c r="E132" i="11"/>
  <c r="C132" i="11"/>
  <c r="E131" i="11"/>
  <c r="C131" i="11"/>
  <c r="E130" i="11"/>
  <c r="C130" i="11"/>
  <c r="E129" i="11"/>
  <c r="C129" i="11"/>
  <c r="E128" i="11"/>
  <c r="C128" i="11"/>
  <c r="E127" i="11"/>
  <c r="C127" i="11"/>
  <c r="E126" i="11"/>
  <c r="C126" i="11"/>
  <c r="E125" i="11"/>
  <c r="C125" i="11"/>
  <c r="E124" i="11"/>
  <c r="C124" i="11"/>
  <c r="E123" i="11"/>
  <c r="C123" i="11"/>
  <c r="E122" i="11"/>
  <c r="C122" i="11"/>
  <c r="E121" i="11"/>
  <c r="C121" i="11"/>
  <c r="E120" i="11"/>
  <c r="C120" i="11"/>
  <c r="E119" i="11"/>
  <c r="C119" i="11"/>
  <c r="E118" i="11"/>
  <c r="C118" i="11"/>
  <c r="E117" i="11"/>
  <c r="C117" i="11"/>
  <c r="E116" i="11"/>
  <c r="C116" i="11"/>
  <c r="E115" i="11"/>
  <c r="C115" i="11"/>
  <c r="E114" i="11"/>
  <c r="C114" i="11"/>
  <c r="E113" i="11"/>
  <c r="C113" i="11"/>
  <c r="E112" i="11"/>
  <c r="C112" i="11"/>
  <c r="E111" i="11"/>
  <c r="C111" i="11"/>
  <c r="E110" i="11"/>
  <c r="C110" i="11"/>
  <c r="E109" i="11"/>
  <c r="C109" i="11"/>
  <c r="E108" i="11"/>
  <c r="C108" i="11"/>
  <c r="E107" i="11"/>
  <c r="C107" i="11"/>
  <c r="E106" i="11"/>
  <c r="C106" i="11"/>
  <c r="E105" i="11"/>
  <c r="C105" i="11"/>
  <c r="E104" i="11"/>
  <c r="C104" i="11"/>
  <c r="E103" i="11"/>
  <c r="C103" i="11"/>
  <c r="E102" i="11"/>
  <c r="C102" i="11"/>
  <c r="E101" i="11"/>
  <c r="C101" i="11"/>
  <c r="E100" i="11"/>
  <c r="C100" i="11"/>
  <c r="E99" i="11"/>
  <c r="C99" i="11"/>
  <c r="E98" i="11"/>
  <c r="C98" i="11"/>
  <c r="E97" i="11"/>
  <c r="C97" i="11"/>
  <c r="E96" i="11"/>
  <c r="C96" i="11"/>
  <c r="E95" i="11"/>
  <c r="C95" i="11"/>
  <c r="E94" i="11"/>
  <c r="C94" i="11"/>
  <c r="E93" i="11"/>
  <c r="C93" i="11"/>
  <c r="E92" i="11"/>
  <c r="C92" i="11"/>
  <c r="E91" i="11"/>
  <c r="C91" i="11"/>
  <c r="E90" i="11"/>
  <c r="C90" i="11"/>
  <c r="E89" i="11"/>
  <c r="C89" i="11"/>
  <c r="E88" i="11"/>
  <c r="C88" i="11"/>
  <c r="E87" i="11"/>
  <c r="C87" i="11"/>
  <c r="E86" i="11"/>
  <c r="C86" i="11"/>
  <c r="E85" i="11"/>
  <c r="C85" i="11"/>
  <c r="E84" i="11"/>
  <c r="C84" i="11"/>
  <c r="E83" i="11"/>
  <c r="C83" i="11"/>
  <c r="E82" i="11"/>
  <c r="C82" i="11"/>
  <c r="E81" i="11"/>
  <c r="C81" i="11"/>
  <c r="E80" i="11"/>
  <c r="C80" i="11"/>
  <c r="E79" i="11"/>
  <c r="C79" i="11"/>
  <c r="E78" i="11"/>
  <c r="C78" i="11"/>
  <c r="E77" i="11"/>
  <c r="C77" i="11"/>
  <c r="E76" i="11"/>
  <c r="C76" i="11"/>
  <c r="E75" i="11"/>
  <c r="C75" i="11"/>
  <c r="E74" i="11"/>
  <c r="C74" i="11"/>
  <c r="E73" i="11"/>
  <c r="C73" i="11"/>
  <c r="E72" i="11"/>
  <c r="C72" i="11"/>
  <c r="E71" i="11"/>
  <c r="C71" i="11"/>
  <c r="E70" i="11"/>
  <c r="C70" i="11"/>
  <c r="E69" i="11"/>
  <c r="C69" i="11"/>
  <c r="E68" i="11"/>
  <c r="C68" i="11"/>
  <c r="E67" i="11"/>
  <c r="C67" i="11"/>
  <c r="E66" i="11"/>
  <c r="C66" i="11"/>
  <c r="E65" i="11"/>
  <c r="C65" i="11"/>
  <c r="E64" i="11"/>
  <c r="C64" i="11"/>
  <c r="E63" i="11"/>
  <c r="C63" i="11"/>
  <c r="E62" i="11"/>
  <c r="C62" i="11"/>
  <c r="E61" i="11"/>
  <c r="C61" i="11"/>
  <c r="E60" i="11"/>
  <c r="C60" i="11"/>
  <c r="E59" i="11"/>
  <c r="C59" i="11"/>
  <c r="E58" i="11"/>
  <c r="C58" i="11"/>
  <c r="E57" i="11"/>
  <c r="C57" i="11"/>
  <c r="E56" i="11"/>
  <c r="C56" i="11"/>
  <c r="E55" i="11"/>
  <c r="C55" i="11"/>
  <c r="E54" i="11"/>
  <c r="C54" i="11"/>
  <c r="E53" i="11"/>
  <c r="C53" i="11"/>
  <c r="E52" i="11"/>
  <c r="C52" i="11"/>
  <c r="E51" i="11"/>
  <c r="C51" i="11"/>
  <c r="E50" i="11"/>
  <c r="C50" i="11"/>
  <c r="E49" i="11"/>
  <c r="C49" i="11"/>
  <c r="E48" i="11"/>
  <c r="C48" i="11"/>
  <c r="E47" i="11"/>
  <c r="C47" i="11"/>
  <c r="E46" i="11"/>
  <c r="C46" i="11"/>
  <c r="E45" i="11"/>
  <c r="C45" i="11"/>
  <c r="E44" i="11"/>
  <c r="C44" i="11"/>
  <c r="E43" i="11"/>
  <c r="C43" i="11"/>
  <c r="E42" i="11"/>
  <c r="C42" i="11"/>
  <c r="E41" i="11"/>
  <c r="C41" i="11"/>
  <c r="E40" i="11"/>
  <c r="C40" i="11"/>
  <c r="E39" i="11"/>
  <c r="C39" i="11"/>
  <c r="E38" i="11"/>
  <c r="C38" i="11"/>
  <c r="E37" i="11"/>
  <c r="C37" i="11"/>
  <c r="E36" i="11"/>
  <c r="C36" i="11"/>
  <c r="E35" i="11"/>
  <c r="C35" i="11"/>
  <c r="E34" i="11"/>
  <c r="C34" i="11"/>
  <c r="E33" i="11"/>
  <c r="C33" i="11"/>
  <c r="E32" i="11"/>
  <c r="C32" i="11"/>
  <c r="E31" i="11"/>
  <c r="C31" i="11"/>
  <c r="E30" i="11"/>
  <c r="C30" i="11"/>
  <c r="E29" i="11"/>
  <c r="C29" i="11"/>
  <c r="E28" i="11"/>
  <c r="C28" i="11"/>
  <c r="E27" i="11"/>
  <c r="C27" i="11"/>
  <c r="E26" i="11"/>
  <c r="C26" i="11"/>
  <c r="E25" i="11"/>
  <c r="C25" i="11"/>
  <c r="E24" i="11"/>
  <c r="C24" i="11"/>
  <c r="E23" i="11"/>
  <c r="C23" i="11"/>
  <c r="E22" i="11"/>
  <c r="C22" i="11"/>
  <c r="E21" i="11"/>
  <c r="C21" i="11"/>
  <c r="E20" i="11"/>
  <c r="C20" i="11"/>
  <c r="E19" i="11"/>
  <c r="C19" i="11"/>
  <c r="E18" i="11"/>
  <c r="C18" i="11"/>
  <c r="E17" i="11"/>
  <c r="C17" i="11"/>
  <c r="E16" i="11"/>
  <c r="C16" i="11"/>
  <c r="E15" i="11"/>
  <c r="C15" i="11"/>
  <c r="E14" i="11"/>
  <c r="C14" i="11"/>
  <c r="E13" i="11"/>
  <c r="C13" i="11"/>
  <c r="E12" i="11"/>
  <c r="C12" i="11"/>
  <c r="E11" i="11"/>
  <c r="C11" i="11"/>
  <c r="E10" i="11"/>
  <c r="C10" i="11"/>
  <c r="E9" i="11"/>
  <c r="C9" i="11"/>
  <c r="E8" i="11"/>
  <c r="C8" i="11"/>
  <c r="E7" i="11"/>
  <c r="C7" i="11"/>
  <c r="E6" i="11"/>
  <c r="C6" i="11"/>
  <c r="E5" i="11"/>
  <c r="C5" i="11"/>
  <c r="E4" i="11"/>
  <c r="C4" i="11"/>
  <c r="A465" i="13"/>
  <c r="A449" i="13"/>
  <c r="A433" i="13"/>
  <c r="A417" i="13"/>
  <c r="A401" i="13"/>
  <c r="A385" i="13"/>
  <c r="A369" i="13"/>
  <c r="A353" i="13"/>
  <c r="A337" i="13"/>
  <c r="A321" i="13"/>
  <c r="A305" i="13"/>
  <c r="A289" i="13"/>
  <c r="A273" i="13"/>
  <c r="A257" i="13"/>
  <c r="A241" i="13"/>
  <c r="A225" i="13"/>
  <c r="A209" i="13"/>
  <c r="A193" i="13"/>
  <c r="A177" i="13"/>
  <c r="A161" i="13"/>
  <c r="A145" i="13"/>
  <c r="A129" i="13"/>
  <c r="A113" i="13"/>
  <c r="A97" i="13"/>
  <c r="A81" i="13"/>
  <c r="A65" i="13"/>
  <c r="A49" i="13"/>
  <c r="A33" i="13"/>
  <c r="A17" i="13"/>
  <c r="A171" i="13"/>
  <c r="A123" i="13"/>
  <c r="A91" i="13"/>
  <c r="A43" i="13"/>
  <c r="A27" i="13"/>
  <c r="A112" i="13"/>
  <c r="A32" i="13"/>
  <c r="A8" i="13"/>
  <c r="A429" i="13"/>
  <c r="A349" i="13"/>
  <c r="A301" i="13"/>
  <c r="A173" i="13"/>
  <c r="A141" i="13"/>
  <c r="A109" i="13"/>
  <c r="A470" i="13"/>
  <c r="A454" i="13"/>
  <c r="A438" i="13"/>
  <c r="A422" i="13"/>
  <c r="A406" i="13"/>
  <c r="A390" i="13"/>
  <c r="A374" i="13"/>
  <c r="A358" i="13"/>
  <c r="A342" i="13"/>
  <c r="A326" i="13"/>
  <c r="A310" i="13"/>
  <c r="A294" i="13"/>
  <c r="A278" i="13"/>
  <c r="A262" i="13"/>
  <c r="A246" i="13"/>
  <c r="A230" i="13"/>
  <c r="A214" i="13"/>
  <c r="A198" i="13"/>
  <c r="A182" i="13"/>
  <c r="A166" i="13"/>
  <c r="A150" i="13"/>
  <c r="A134" i="13"/>
  <c r="A118" i="13"/>
  <c r="A102" i="13"/>
  <c r="A86" i="13"/>
  <c r="A70" i="13"/>
  <c r="A54" i="13"/>
  <c r="A38" i="13"/>
  <c r="A22" i="13"/>
  <c r="A6" i="13"/>
  <c r="A107" i="13"/>
  <c r="A75" i="13"/>
  <c r="A80" i="13"/>
  <c r="A381" i="13"/>
  <c r="A125" i="13"/>
  <c r="A77" i="13"/>
  <c r="A475" i="13"/>
  <c r="A459" i="13"/>
  <c r="A443" i="13"/>
  <c r="A427" i="13"/>
  <c r="A411" i="13"/>
  <c r="A395" i="13"/>
  <c r="A379" i="13"/>
  <c r="A363" i="13"/>
  <c r="A347" i="13"/>
  <c r="A331" i="13"/>
  <c r="A315" i="13"/>
  <c r="A299" i="13"/>
  <c r="A283" i="13"/>
  <c r="A267" i="13"/>
  <c r="A251" i="13"/>
  <c r="A235" i="13"/>
  <c r="A219" i="13"/>
  <c r="A203" i="13"/>
  <c r="A187" i="13"/>
  <c r="A155" i="13"/>
  <c r="A139" i="13"/>
  <c r="A59" i="13"/>
  <c r="A11" i="13"/>
  <c r="A48" i="13"/>
  <c r="A16" i="13"/>
  <c r="A189" i="13"/>
  <c r="A29" i="13"/>
  <c r="A151" i="13"/>
  <c r="A464" i="13"/>
  <c r="A448" i="13"/>
  <c r="A432" i="13"/>
  <c r="A416" i="13"/>
  <c r="A400" i="13"/>
  <c r="A384" i="13"/>
  <c r="A368" i="13"/>
  <c r="A352" i="13"/>
  <c r="A336" i="13"/>
  <c r="A320" i="13"/>
  <c r="A304" i="13"/>
  <c r="A288" i="13"/>
  <c r="A272" i="13"/>
  <c r="A256" i="13"/>
  <c r="A240" i="13"/>
  <c r="A224" i="13"/>
  <c r="A208" i="13"/>
  <c r="A192" i="13"/>
  <c r="A176" i="13"/>
  <c r="A160" i="13"/>
  <c r="A144" i="13"/>
  <c r="A128" i="13"/>
  <c r="A96" i="13"/>
  <c r="A64" i="13"/>
  <c r="A167" i="13"/>
  <c r="A55" i="13"/>
  <c r="A469" i="13"/>
  <c r="A453" i="13"/>
  <c r="A437" i="13"/>
  <c r="A421" i="13"/>
  <c r="A405" i="13"/>
  <c r="A389" i="13"/>
  <c r="A373" i="13"/>
  <c r="A357" i="13"/>
  <c r="A341" i="13"/>
  <c r="A325" i="13"/>
  <c r="A309" i="13"/>
  <c r="A293" i="13"/>
  <c r="A277" i="13"/>
  <c r="A261" i="13"/>
  <c r="A245" i="13"/>
  <c r="A229" i="13"/>
  <c r="A213" i="13"/>
  <c r="A197" i="13"/>
  <c r="A181" i="13"/>
  <c r="A165" i="13"/>
  <c r="A149" i="13"/>
  <c r="A133" i="13"/>
  <c r="A117" i="13"/>
  <c r="A101" i="13"/>
  <c r="A85" i="13"/>
  <c r="A69" i="13"/>
  <c r="A53" i="13"/>
  <c r="A37" i="13"/>
  <c r="A21" i="13"/>
  <c r="A5" i="13"/>
  <c r="A153" i="13"/>
  <c r="A445" i="13"/>
  <c r="A333" i="13"/>
  <c r="A285" i="13"/>
  <c r="A253" i="13"/>
  <c r="A93" i="13"/>
  <c r="A61" i="13"/>
  <c r="A215" i="13"/>
  <c r="A119" i="13"/>
  <c r="A474" i="13"/>
  <c r="A458" i="13"/>
  <c r="A442" i="13"/>
  <c r="A426" i="13"/>
  <c r="A410" i="13"/>
  <c r="A394" i="13"/>
  <c r="A378" i="13"/>
  <c r="A362" i="13"/>
  <c r="A346" i="13"/>
  <c r="A330" i="13"/>
  <c r="A314" i="13"/>
  <c r="A298" i="13"/>
  <c r="A282" i="13"/>
  <c r="A266" i="13"/>
  <c r="A250" i="13"/>
  <c r="A234" i="13"/>
  <c r="A218" i="13"/>
  <c r="A202" i="13"/>
  <c r="A186" i="13"/>
  <c r="A170" i="13"/>
  <c r="A154" i="13"/>
  <c r="A138" i="13"/>
  <c r="A122" i="13"/>
  <c r="A106" i="13"/>
  <c r="A90" i="13"/>
  <c r="A74" i="13"/>
  <c r="A58" i="13"/>
  <c r="A42" i="13"/>
  <c r="A26" i="13"/>
  <c r="A10" i="13"/>
  <c r="A15" i="13"/>
  <c r="A105" i="13"/>
  <c r="A25" i="13"/>
  <c r="A99" i="13"/>
  <c r="A35" i="13"/>
  <c r="A56" i="13"/>
  <c r="A461" i="13"/>
  <c r="A397" i="13"/>
  <c r="A317" i="13"/>
  <c r="A269" i="13"/>
  <c r="A237" i="13"/>
  <c r="A221" i="13"/>
  <c r="A205" i="13"/>
  <c r="A45" i="13"/>
  <c r="A183" i="13"/>
  <c r="A103" i="13"/>
  <c r="A7" i="13"/>
  <c r="A463" i="13"/>
  <c r="A447" i="13"/>
  <c r="A431" i="13"/>
  <c r="A415" i="13"/>
  <c r="A399" i="13"/>
  <c r="A383" i="13"/>
  <c r="A367" i="13"/>
  <c r="A351" i="13"/>
  <c r="A335" i="13"/>
  <c r="A319" i="13"/>
  <c r="A303" i="13"/>
  <c r="A287" i="13"/>
  <c r="A271" i="13"/>
  <c r="A255" i="13"/>
  <c r="A239" i="13"/>
  <c r="A223" i="13"/>
  <c r="A207" i="13"/>
  <c r="A191" i="13"/>
  <c r="A175" i="13"/>
  <c r="A159" i="13"/>
  <c r="A143" i="13"/>
  <c r="A127" i="13"/>
  <c r="A111" i="13"/>
  <c r="A95" i="13"/>
  <c r="A79" i="13"/>
  <c r="A63" i="13"/>
  <c r="A47" i="13"/>
  <c r="A31" i="13"/>
  <c r="A41" i="13"/>
  <c r="A51" i="13"/>
  <c r="A40" i="13"/>
  <c r="A468" i="13"/>
  <c r="A452" i="13"/>
  <c r="A436" i="13"/>
  <c r="A420" i="13"/>
  <c r="A404" i="13"/>
  <c r="A388" i="13"/>
  <c r="A372" i="13"/>
  <c r="A356" i="13"/>
  <c r="A340" i="13"/>
  <c r="A324" i="13"/>
  <c r="A308" i="13"/>
  <c r="A292" i="13"/>
  <c r="A276" i="13"/>
  <c r="A260" i="13"/>
  <c r="A244" i="13"/>
  <c r="A228" i="13"/>
  <c r="A212" i="13"/>
  <c r="A196" i="13"/>
  <c r="A180" i="13"/>
  <c r="A164" i="13"/>
  <c r="A148" i="13"/>
  <c r="A132" i="13"/>
  <c r="A116" i="13"/>
  <c r="A100" i="13"/>
  <c r="A84" i="13"/>
  <c r="A68" i="13"/>
  <c r="A52" i="13"/>
  <c r="A36" i="13"/>
  <c r="A20" i="13"/>
  <c r="A4" i="13"/>
  <c r="A19" i="13"/>
  <c r="A71" i="13"/>
  <c r="A473" i="13"/>
  <c r="A457" i="13"/>
  <c r="A441" i="13"/>
  <c r="A425" i="13"/>
  <c r="A409" i="13"/>
  <c r="A393" i="13"/>
  <c r="A377" i="13"/>
  <c r="A361" i="13"/>
  <c r="A345" i="13"/>
  <c r="A329" i="13"/>
  <c r="A313" i="13"/>
  <c r="A297" i="13"/>
  <c r="A281" i="13"/>
  <c r="A265" i="13"/>
  <c r="A249" i="13"/>
  <c r="A233" i="13"/>
  <c r="A217" i="13"/>
  <c r="A201" i="13"/>
  <c r="A185" i="13"/>
  <c r="A169" i="13"/>
  <c r="A137" i="13"/>
  <c r="A121" i="13"/>
  <c r="A89" i="13"/>
  <c r="A73" i="13"/>
  <c r="A57" i="13"/>
  <c r="A9" i="13"/>
  <c r="A365" i="13"/>
  <c r="A199" i="13"/>
  <c r="A39" i="13"/>
  <c r="A462" i="13"/>
  <c r="A446" i="13"/>
  <c r="A430" i="13"/>
  <c r="A414" i="13"/>
  <c r="A398" i="13"/>
  <c r="A382" i="13"/>
  <c r="A366" i="13"/>
  <c r="A350" i="13"/>
  <c r="A334" i="13"/>
  <c r="A318" i="13"/>
  <c r="A302" i="13"/>
  <c r="A286" i="13"/>
  <c r="A270" i="13"/>
  <c r="A254" i="13"/>
  <c r="A238" i="13"/>
  <c r="A222" i="13"/>
  <c r="A206" i="13"/>
  <c r="A190" i="13"/>
  <c r="A174" i="13"/>
  <c r="A158" i="13"/>
  <c r="A142" i="13"/>
  <c r="A126" i="13"/>
  <c r="A110" i="13"/>
  <c r="A94" i="13"/>
  <c r="A78" i="13"/>
  <c r="A62" i="13"/>
  <c r="A46" i="13"/>
  <c r="A30" i="13"/>
  <c r="A14" i="13"/>
  <c r="A115" i="13"/>
  <c r="A83" i="13"/>
  <c r="A67" i="13"/>
  <c r="A3" i="13"/>
  <c r="A23" i="13"/>
  <c r="A467" i="13"/>
  <c r="A451" i="13"/>
  <c r="A435" i="13"/>
  <c r="A419" i="13"/>
  <c r="A403" i="13"/>
  <c r="A387" i="13"/>
  <c r="A371" i="13"/>
  <c r="A355" i="13"/>
  <c r="A339" i="13"/>
  <c r="A323" i="13"/>
  <c r="A307" i="13"/>
  <c r="A291" i="13"/>
  <c r="A275" i="13"/>
  <c r="A259" i="13"/>
  <c r="A243" i="13"/>
  <c r="A227" i="13"/>
  <c r="A211" i="13"/>
  <c r="A195" i="13"/>
  <c r="A179" i="13"/>
  <c r="A163" i="13"/>
  <c r="A147" i="13"/>
  <c r="A131" i="13"/>
  <c r="A413" i="13"/>
  <c r="A13" i="13"/>
  <c r="A472" i="13"/>
  <c r="A456" i="13"/>
  <c r="A440" i="13"/>
  <c r="A424" i="13"/>
  <c r="A408" i="13"/>
  <c r="A392" i="13"/>
  <c r="A376" i="13"/>
  <c r="A360" i="13"/>
  <c r="A344" i="13"/>
  <c r="A328" i="13"/>
  <c r="A312" i="13"/>
  <c r="A296" i="13"/>
  <c r="A280" i="13"/>
  <c r="A264" i="13"/>
  <c r="A248" i="13"/>
  <c r="A232" i="13"/>
  <c r="A216" i="13"/>
  <c r="A200" i="13"/>
  <c r="A184" i="13"/>
  <c r="A168" i="13"/>
  <c r="A152" i="13"/>
  <c r="A136" i="13"/>
  <c r="A120" i="13"/>
  <c r="A104" i="13"/>
  <c r="A88" i="13"/>
  <c r="A72" i="13"/>
  <c r="A24" i="13"/>
  <c r="A466" i="13"/>
  <c r="A450" i="13"/>
  <c r="A434" i="13"/>
  <c r="A418" i="13"/>
  <c r="A402" i="13"/>
  <c r="A386" i="13"/>
  <c r="A370" i="13"/>
  <c r="A354" i="13"/>
  <c r="A338" i="13"/>
  <c r="A322" i="13"/>
  <c r="A306" i="13"/>
  <c r="A290" i="13"/>
  <c r="A274" i="13"/>
  <c r="A258" i="13"/>
  <c r="A242" i="13"/>
  <c r="A226" i="13"/>
  <c r="A210" i="13"/>
  <c r="A194" i="13"/>
  <c r="A178" i="13"/>
  <c r="A162" i="13"/>
  <c r="A146" i="13"/>
  <c r="A130" i="13"/>
  <c r="A114" i="13"/>
  <c r="A98" i="13"/>
  <c r="A82" i="13"/>
  <c r="A66" i="13"/>
  <c r="A50" i="13"/>
  <c r="A34" i="13"/>
  <c r="A18" i="13"/>
  <c r="A2" i="13"/>
  <c r="A471" i="13"/>
  <c r="A455" i="13"/>
  <c r="A439" i="13"/>
  <c r="A423" i="13"/>
  <c r="A407" i="13"/>
  <c r="A391" i="13"/>
  <c r="A375" i="13"/>
  <c r="A359" i="13"/>
  <c r="A343" i="13"/>
  <c r="A327" i="13"/>
  <c r="A311" i="13"/>
  <c r="A295" i="13"/>
  <c r="A279" i="13"/>
  <c r="A263" i="13"/>
  <c r="A247" i="13"/>
  <c r="A231" i="13"/>
  <c r="A135" i="13"/>
  <c r="A87" i="13"/>
  <c r="A460" i="13"/>
  <c r="A444" i="13"/>
  <c r="A428" i="13"/>
  <c r="A412" i="13"/>
  <c r="A396" i="13"/>
  <c r="A380" i="13"/>
  <c r="A364" i="13"/>
  <c r="A348" i="13"/>
  <c r="A332" i="13"/>
  <c r="A316" i="13"/>
  <c r="A300" i="13"/>
  <c r="A284" i="13"/>
  <c r="A268" i="13"/>
  <c r="A252" i="13"/>
  <c r="A236" i="13"/>
  <c r="A220" i="13"/>
  <c r="A204" i="13"/>
  <c r="A188" i="13"/>
  <c r="A172" i="13"/>
  <c r="A156" i="13"/>
  <c r="A140" i="13"/>
  <c r="A124" i="13"/>
  <c r="A108" i="13"/>
  <c r="A92" i="13"/>
  <c r="A76" i="13"/>
  <c r="A60" i="13"/>
  <c r="A44" i="13"/>
  <c r="A28" i="13"/>
  <c r="A12" i="13"/>
  <c r="A157" i="13"/>
  <c r="A56" i="12"/>
  <c r="A40" i="12"/>
  <c r="A24" i="12"/>
  <c r="A8" i="12"/>
  <c r="A39" i="12"/>
  <c r="A23" i="12"/>
  <c r="A61" i="12"/>
  <c r="A45" i="12"/>
  <c r="A29" i="12"/>
  <c r="A13" i="12"/>
  <c r="A55" i="12"/>
  <c r="A60" i="12"/>
  <c r="A66" i="12"/>
  <c r="A50" i="12"/>
  <c r="A34" i="12"/>
  <c r="A18" i="12"/>
  <c r="A2" i="12"/>
  <c r="A7" i="12"/>
  <c r="A28" i="12"/>
  <c r="A44" i="12"/>
  <c r="A12" i="12"/>
  <c r="A65" i="12"/>
  <c r="A49" i="12"/>
  <c r="A33" i="12"/>
  <c r="A17" i="12"/>
  <c r="A42" i="12"/>
  <c r="A4" i="12"/>
  <c r="A54" i="12"/>
  <c r="A38" i="12"/>
  <c r="A22" i="12"/>
  <c r="A6" i="12"/>
  <c r="A36" i="12"/>
  <c r="A59" i="12"/>
  <c r="A43" i="12"/>
  <c r="A27" i="12"/>
  <c r="A11" i="12"/>
  <c r="A26" i="12"/>
  <c r="A47" i="12"/>
  <c r="A64" i="12"/>
  <c r="A48" i="12"/>
  <c r="A32" i="12"/>
  <c r="A16" i="12"/>
  <c r="A5" i="12"/>
  <c r="A31" i="12"/>
  <c r="A62" i="12"/>
  <c r="A53" i="12"/>
  <c r="A37" i="12"/>
  <c r="A21" i="12"/>
  <c r="A46" i="12"/>
  <c r="A58" i="12"/>
  <c r="A10" i="12"/>
  <c r="A15" i="12"/>
  <c r="A20" i="12"/>
  <c r="A30" i="12"/>
  <c r="A63" i="12"/>
  <c r="A52" i="12"/>
  <c r="A14" i="12"/>
  <c r="A57" i="12"/>
  <c r="A41" i="12"/>
  <c r="A25" i="12"/>
  <c r="A9" i="12"/>
  <c r="A51" i="12"/>
  <c r="A35" i="12"/>
  <c r="A19" i="12"/>
  <c r="A3" i="12"/>
  <c r="A214" i="11"/>
  <c r="A198" i="11"/>
  <c r="A182" i="11"/>
  <c r="A166" i="11"/>
  <c r="A150" i="11"/>
  <c r="A134" i="11"/>
  <c r="A118" i="11"/>
  <c r="A102" i="11"/>
  <c r="A86" i="11"/>
  <c r="A70" i="11"/>
  <c r="A54" i="11"/>
  <c r="A38" i="11"/>
  <c r="A22" i="11"/>
  <c r="A6" i="11"/>
  <c r="A43" i="11"/>
  <c r="A101" i="11"/>
  <c r="A85" i="11"/>
  <c r="A37" i="11"/>
  <c r="A21" i="11"/>
  <c r="A58" i="11"/>
  <c r="A42" i="11"/>
  <c r="A26" i="11"/>
  <c r="A76" i="11"/>
  <c r="A219" i="11"/>
  <c r="A203" i="11"/>
  <c r="A187" i="11"/>
  <c r="A171" i="11"/>
  <c r="A155" i="11"/>
  <c r="A139" i="11"/>
  <c r="A123" i="11"/>
  <c r="A107" i="11"/>
  <c r="A91" i="11"/>
  <c r="A75" i="11"/>
  <c r="A59" i="11"/>
  <c r="A27" i="11"/>
  <c r="A11" i="11"/>
  <c r="A48" i="11"/>
  <c r="A32" i="11"/>
  <c r="A5" i="11"/>
  <c r="A10" i="11"/>
  <c r="A224" i="11"/>
  <c r="A208" i="11"/>
  <c r="A192" i="11"/>
  <c r="A176" i="11"/>
  <c r="A160" i="11"/>
  <c r="A144" i="11"/>
  <c r="A128" i="11"/>
  <c r="A112" i="11"/>
  <c r="A96" i="11"/>
  <c r="A80" i="11"/>
  <c r="A64" i="11"/>
  <c r="A16" i="11"/>
  <c r="A74" i="11"/>
  <c r="A213" i="11"/>
  <c r="A197" i="11"/>
  <c r="A181" i="11"/>
  <c r="A165" i="11"/>
  <c r="A149" i="11"/>
  <c r="A133" i="11"/>
  <c r="A117" i="11"/>
  <c r="A69" i="11"/>
  <c r="A53" i="11"/>
  <c r="A218" i="11"/>
  <c r="A202" i="11"/>
  <c r="A186" i="11"/>
  <c r="A170" i="11"/>
  <c r="A154" i="11"/>
  <c r="A138" i="11"/>
  <c r="A122" i="11"/>
  <c r="A106" i="11"/>
  <c r="A90" i="11"/>
  <c r="A223" i="11"/>
  <c r="A207" i="11"/>
  <c r="A191" i="11"/>
  <c r="A175" i="11"/>
  <c r="A159" i="11"/>
  <c r="A143" i="11"/>
  <c r="A127" i="11"/>
  <c r="A111" i="11"/>
  <c r="A95" i="11"/>
  <c r="A79" i="11"/>
  <c r="A63" i="11"/>
  <c r="A47" i="11"/>
  <c r="A31" i="11"/>
  <c r="A15" i="11"/>
  <c r="A140" i="11"/>
  <c r="A44" i="11"/>
  <c r="A212" i="11"/>
  <c r="A196" i="11"/>
  <c r="A180" i="11"/>
  <c r="A164" i="11"/>
  <c r="A148" i="11"/>
  <c r="A132" i="11"/>
  <c r="A116" i="11"/>
  <c r="A100" i="11"/>
  <c r="A84" i="11"/>
  <c r="A68" i="11"/>
  <c r="A52" i="11"/>
  <c r="A36" i="11"/>
  <c r="A20" i="11"/>
  <c r="A217" i="11"/>
  <c r="A201" i="11"/>
  <c r="A185" i="11"/>
  <c r="A169" i="11"/>
  <c r="A153" i="11"/>
  <c r="A137" i="11"/>
  <c r="A121" i="11"/>
  <c r="A105" i="11"/>
  <c r="A89" i="11"/>
  <c r="A73" i="11"/>
  <c r="A57" i="11"/>
  <c r="A41" i="11"/>
  <c r="A25" i="11"/>
  <c r="A9" i="11"/>
  <c r="A93" i="11"/>
  <c r="A61" i="11"/>
  <c r="A13" i="11"/>
  <c r="A124" i="11"/>
  <c r="A92" i="11"/>
  <c r="A222" i="11"/>
  <c r="A206" i="11"/>
  <c r="A190" i="11"/>
  <c r="A174" i="11"/>
  <c r="A158" i="11"/>
  <c r="A142" i="11"/>
  <c r="A126" i="11"/>
  <c r="A110" i="11"/>
  <c r="A94" i="11"/>
  <c r="A78" i="11"/>
  <c r="A62" i="11"/>
  <c r="A46" i="11"/>
  <c r="A30" i="11"/>
  <c r="A14" i="11"/>
  <c r="A51" i="11"/>
  <c r="A19" i="11"/>
  <c r="A40" i="11"/>
  <c r="A24" i="11"/>
  <c r="A8" i="11"/>
  <c r="A98" i="11"/>
  <c r="A50" i="11"/>
  <c r="A204" i="11"/>
  <c r="A211" i="11"/>
  <c r="A195" i="11"/>
  <c r="A179" i="11"/>
  <c r="A163" i="11"/>
  <c r="A147" i="11"/>
  <c r="A131" i="11"/>
  <c r="A115" i="11"/>
  <c r="A99" i="11"/>
  <c r="A83" i="11"/>
  <c r="A67" i="11"/>
  <c r="A35" i="11"/>
  <c r="A29" i="11"/>
  <c r="A220" i="11"/>
  <c r="A172" i="11"/>
  <c r="A12" i="11"/>
  <c r="A216" i="11"/>
  <c r="A200" i="11"/>
  <c r="A184" i="11"/>
  <c r="A168" i="11"/>
  <c r="A152" i="11"/>
  <c r="A136" i="11"/>
  <c r="A120" i="11"/>
  <c r="A104" i="11"/>
  <c r="A88" i="11"/>
  <c r="A72" i="11"/>
  <c r="A56" i="11"/>
  <c r="A66" i="11"/>
  <c r="A34" i="11"/>
  <c r="A7" i="11"/>
  <c r="A221" i="11"/>
  <c r="A205" i="11"/>
  <c r="A189" i="11"/>
  <c r="A173" i="11"/>
  <c r="A157" i="11"/>
  <c r="A141" i="11"/>
  <c r="A125" i="11"/>
  <c r="A109" i="11"/>
  <c r="A77" i="11"/>
  <c r="A45" i="11"/>
  <c r="A210" i="11"/>
  <c r="A194" i="11"/>
  <c r="A178" i="11"/>
  <c r="A162" i="11"/>
  <c r="A146" i="11"/>
  <c r="A130" i="11"/>
  <c r="A114" i="11"/>
  <c r="A82" i="11"/>
  <c r="A18" i="11"/>
  <c r="A188" i="11"/>
  <c r="A215" i="11"/>
  <c r="A199" i="11"/>
  <c r="A183" i="11"/>
  <c r="A167" i="11"/>
  <c r="A151" i="11"/>
  <c r="A135" i="11"/>
  <c r="A119" i="11"/>
  <c r="A103" i="11"/>
  <c r="A87" i="11"/>
  <c r="A71" i="11"/>
  <c r="A55" i="11"/>
  <c r="A39" i="11"/>
  <c r="A23" i="11"/>
  <c r="A156" i="11"/>
  <c r="A108" i="11"/>
  <c r="A60" i="11"/>
  <c r="A28" i="11"/>
  <c r="A209" i="11"/>
  <c r="A193" i="11"/>
  <c r="A177" i="11"/>
  <c r="A161" i="11"/>
  <c r="A145" i="11"/>
  <c r="A129" i="11"/>
  <c r="A113" i="11"/>
  <c r="A97" i="11"/>
  <c r="A81" i="11"/>
  <c r="A65" i="11"/>
  <c r="A49" i="11"/>
  <c r="A33" i="11"/>
  <c r="A17" i="11"/>
  <c r="A4" i="11"/>
  <c r="E3" i="11"/>
  <c r="C3" i="11"/>
  <c r="E2" i="11"/>
  <c r="C2" i="11"/>
  <c r="E137" i="10"/>
  <c r="C137" i="10"/>
  <c r="E136" i="10"/>
  <c r="C136" i="10"/>
  <c r="E135" i="10"/>
  <c r="C135" i="10"/>
  <c r="E134" i="10"/>
  <c r="C134" i="10"/>
  <c r="E133" i="10"/>
  <c r="C133" i="10"/>
  <c r="E132" i="10"/>
  <c r="C132" i="10"/>
  <c r="E131" i="10"/>
  <c r="C131" i="10"/>
  <c r="E130" i="10"/>
  <c r="C130" i="10"/>
  <c r="E129" i="10"/>
  <c r="C129" i="10"/>
  <c r="E128" i="10"/>
  <c r="C128" i="10"/>
  <c r="E127" i="10"/>
  <c r="C127" i="10"/>
  <c r="E126" i="10"/>
  <c r="C126" i="10"/>
  <c r="E125" i="10"/>
  <c r="C125" i="10"/>
  <c r="E124" i="10"/>
  <c r="C124" i="10"/>
  <c r="E123" i="10"/>
  <c r="C123" i="10"/>
  <c r="E122" i="10"/>
  <c r="C122" i="10"/>
  <c r="E121" i="10"/>
  <c r="C121" i="10"/>
  <c r="E120" i="10"/>
  <c r="C120" i="10"/>
  <c r="E119" i="10"/>
  <c r="C119" i="10"/>
  <c r="E118" i="10"/>
  <c r="C118" i="10"/>
  <c r="E117" i="10"/>
  <c r="C117" i="10"/>
  <c r="E116" i="10"/>
  <c r="C116" i="10"/>
  <c r="E115" i="10"/>
  <c r="C115" i="10"/>
  <c r="E114" i="10"/>
  <c r="C114" i="10"/>
  <c r="E113" i="10"/>
  <c r="C113" i="10"/>
  <c r="E112" i="10"/>
  <c r="C112" i="10"/>
  <c r="E111" i="10"/>
  <c r="C111" i="10"/>
  <c r="E110" i="10"/>
  <c r="C110" i="10"/>
  <c r="E109" i="10"/>
  <c r="C109" i="10"/>
  <c r="E108" i="10"/>
  <c r="C108" i="10"/>
  <c r="E107" i="10"/>
  <c r="C107" i="10"/>
  <c r="E106" i="10"/>
  <c r="C106" i="10"/>
  <c r="E105" i="10"/>
  <c r="C105" i="10"/>
  <c r="E104" i="10"/>
  <c r="C104" i="10"/>
  <c r="E103" i="10"/>
  <c r="C103" i="10"/>
  <c r="E102" i="10"/>
  <c r="C102" i="10"/>
  <c r="E101" i="10"/>
  <c r="C101" i="10"/>
  <c r="E100" i="10"/>
  <c r="C100" i="10"/>
  <c r="E99" i="10"/>
  <c r="C99" i="10"/>
  <c r="E98" i="10"/>
  <c r="C98" i="10"/>
  <c r="E97" i="10"/>
  <c r="C97" i="10"/>
  <c r="E96" i="10"/>
  <c r="C96" i="10"/>
  <c r="E95" i="10"/>
  <c r="C95" i="10"/>
  <c r="E94" i="10"/>
  <c r="C94" i="10"/>
  <c r="E93" i="10"/>
  <c r="C93" i="10"/>
  <c r="E92" i="10"/>
  <c r="C92" i="10"/>
  <c r="E91" i="10"/>
  <c r="C91" i="10"/>
  <c r="E90" i="10"/>
  <c r="C90" i="10"/>
  <c r="E89" i="10"/>
  <c r="C89" i="10"/>
  <c r="E88" i="10"/>
  <c r="C88" i="10"/>
  <c r="E87" i="10"/>
  <c r="C87" i="10"/>
  <c r="E86" i="10"/>
  <c r="C86" i="10"/>
  <c r="E85" i="10"/>
  <c r="C85" i="10"/>
  <c r="E84" i="10"/>
  <c r="C84" i="10"/>
  <c r="E83" i="10"/>
  <c r="C83" i="10"/>
  <c r="E82" i="10"/>
  <c r="C82" i="10"/>
  <c r="E81" i="10"/>
  <c r="C81" i="10"/>
  <c r="E80" i="10"/>
  <c r="C80" i="10"/>
  <c r="E79" i="10"/>
  <c r="C79" i="10"/>
  <c r="E78" i="10"/>
  <c r="C78" i="10"/>
  <c r="E77" i="10"/>
  <c r="C77" i="10"/>
  <c r="E76" i="10"/>
  <c r="C76" i="10"/>
  <c r="E75" i="10"/>
  <c r="C75" i="10"/>
  <c r="E74" i="10"/>
  <c r="C74" i="10"/>
  <c r="E73" i="10"/>
  <c r="C73" i="10"/>
  <c r="E72" i="10"/>
  <c r="C72" i="10"/>
  <c r="E71" i="10"/>
  <c r="C71" i="10"/>
  <c r="E70" i="10"/>
  <c r="C70" i="10"/>
  <c r="E69" i="10"/>
  <c r="C69" i="10"/>
  <c r="E68" i="10"/>
  <c r="C68" i="10"/>
  <c r="E67" i="10"/>
  <c r="C67" i="10"/>
  <c r="E66" i="10"/>
  <c r="C66" i="10"/>
  <c r="E65" i="10"/>
  <c r="C65" i="10"/>
  <c r="E64" i="10"/>
  <c r="C64" i="10"/>
  <c r="E63" i="10"/>
  <c r="C63" i="10"/>
  <c r="E62" i="10"/>
  <c r="C62" i="10"/>
  <c r="E61" i="10"/>
  <c r="C61" i="10"/>
  <c r="E60" i="10"/>
  <c r="C60" i="10"/>
  <c r="E59" i="10"/>
  <c r="C59" i="10"/>
  <c r="E58" i="10"/>
  <c r="C58" i="10"/>
  <c r="E57" i="10"/>
  <c r="C57" i="10"/>
  <c r="E56" i="10"/>
  <c r="C56" i="10"/>
  <c r="E55" i="10"/>
  <c r="C55" i="10"/>
  <c r="E54" i="10"/>
  <c r="C54" i="10"/>
  <c r="E53" i="10"/>
  <c r="C53" i="10"/>
  <c r="E52" i="10"/>
  <c r="C52" i="10"/>
  <c r="E51" i="10"/>
  <c r="C51" i="10"/>
  <c r="E50" i="10"/>
  <c r="C50" i="10"/>
  <c r="E49" i="10"/>
  <c r="C49" i="10"/>
  <c r="E48" i="10"/>
  <c r="C48" i="10"/>
  <c r="E47" i="10"/>
  <c r="C47" i="10"/>
  <c r="E46" i="10"/>
  <c r="C46" i="10"/>
  <c r="E45" i="10"/>
  <c r="C45" i="10"/>
  <c r="E44" i="10"/>
  <c r="C44" i="10"/>
  <c r="E43" i="10"/>
  <c r="C43" i="10"/>
  <c r="E42" i="10"/>
  <c r="C42" i="10"/>
  <c r="E41" i="10"/>
  <c r="C41" i="10"/>
  <c r="E40" i="10"/>
  <c r="C40" i="10"/>
  <c r="E39" i="10"/>
  <c r="C39" i="10"/>
  <c r="E38" i="10"/>
  <c r="C38" i="10"/>
  <c r="E37" i="10"/>
  <c r="C37" i="10"/>
  <c r="E36" i="10"/>
  <c r="C36" i="10"/>
  <c r="E35" i="10"/>
  <c r="C35" i="10"/>
  <c r="E34" i="10"/>
  <c r="C34" i="10"/>
  <c r="E33" i="10"/>
  <c r="C33" i="10"/>
  <c r="E32" i="10"/>
  <c r="C32" i="10"/>
  <c r="E31" i="10"/>
  <c r="C31" i="10"/>
  <c r="E30" i="10"/>
  <c r="C30" i="10"/>
  <c r="E29" i="10"/>
  <c r="C29" i="10"/>
  <c r="E28" i="10"/>
  <c r="C28" i="10"/>
  <c r="E27" i="10"/>
  <c r="C27" i="10"/>
  <c r="E26" i="10"/>
  <c r="C26" i="10"/>
  <c r="E25" i="10"/>
  <c r="C25" i="10"/>
  <c r="E24" i="10"/>
  <c r="C24" i="10"/>
  <c r="E23" i="10"/>
  <c r="C23" i="10"/>
  <c r="E22" i="10"/>
  <c r="C22" i="10"/>
  <c r="E21" i="10"/>
  <c r="C21" i="10"/>
  <c r="E20" i="10"/>
  <c r="C20" i="10"/>
  <c r="E19" i="10"/>
  <c r="C19" i="10"/>
  <c r="E18" i="10"/>
  <c r="C18" i="10"/>
  <c r="E17" i="10"/>
  <c r="C17" i="10"/>
  <c r="E16" i="10"/>
  <c r="C16" i="10"/>
  <c r="E15" i="10"/>
  <c r="C15" i="10"/>
  <c r="E14" i="10"/>
  <c r="C14" i="10"/>
  <c r="E13" i="10"/>
  <c r="C13" i="10"/>
  <c r="E12" i="10"/>
  <c r="C12" i="10"/>
  <c r="E11" i="10"/>
  <c r="C11" i="10"/>
  <c r="E10" i="10"/>
  <c r="C10" i="10"/>
  <c r="E9" i="10"/>
  <c r="C9" i="10"/>
  <c r="E8" i="10"/>
  <c r="C8" i="10"/>
  <c r="E7" i="10"/>
  <c r="C7" i="10"/>
  <c r="E6" i="10"/>
  <c r="C6" i="10"/>
  <c r="E5" i="10"/>
  <c r="C5" i="10"/>
  <c r="E4" i="10"/>
  <c r="C4" i="10"/>
  <c r="E3" i="10"/>
  <c r="C3" i="10"/>
  <c r="A3" i="11"/>
  <c r="A2" i="11"/>
  <c r="A127" i="10"/>
  <c r="A111" i="10"/>
  <c r="A95" i="10"/>
  <c r="A79" i="10"/>
  <c r="A63" i="10"/>
  <c r="A47" i="10"/>
  <c r="A31" i="10"/>
  <c r="A15" i="10"/>
  <c r="A36" i="10"/>
  <c r="A4" i="10"/>
  <c r="A41" i="10"/>
  <c r="A74" i="10"/>
  <c r="A132" i="10"/>
  <c r="A116" i="10"/>
  <c r="A100" i="10"/>
  <c r="A84" i="10"/>
  <c r="A68" i="10"/>
  <c r="A52" i="10"/>
  <c r="A20" i="10"/>
  <c r="A9" i="10"/>
  <c r="A59" i="10"/>
  <c r="A80" i="10"/>
  <c r="A48" i="10"/>
  <c r="A117" i="10"/>
  <c r="A137" i="10"/>
  <c r="A121" i="10"/>
  <c r="A105" i="10"/>
  <c r="A89" i="10"/>
  <c r="A73" i="10"/>
  <c r="A57" i="10"/>
  <c r="A25" i="10"/>
  <c r="A126" i="10"/>
  <c r="A110" i="10"/>
  <c r="A94" i="10"/>
  <c r="A78" i="10"/>
  <c r="A62" i="10"/>
  <c r="A46" i="10"/>
  <c r="A30" i="10"/>
  <c r="A14" i="10"/>
  <c r="A19" i="10"/>
  <c r="A61" i="10"/>
  <c r="A60" i="10"/>
  <c r="A12" i="10"/>
  <c r="A70" i="10"/>
  <c r="A11" i="10"/>
  <c r="A26" i="10"/>
  <c r="A131" i="10"/>
  <c r="A115" i="10"/>
  <c r="A99" i="10"/>
  <c r="A83" i="10"/>
  <c r="A67" i="10"/>
  <c r="A51" i="10"/>
  <c r="A35" i="10"/>
  <c r="A18" i="10"/>
  <c r="A28" i="10"/>
  <c r="A17" i="10"/>
  <c r="A27" i="10"/>
  <c r="A133" i="10"/>
  <c r="A106" i="10"/>
  <c r="A136" i="10"/>
  <c r="A120" i="10"/>
  <c r="A104" i="10"/>
  <c r="A88" i="10"/>
  <c r="A72" i="10"/>
  <c r="A56" i="10"/>
  <c r="A40" i="10"/>
  <c r="A24" i="10"/>
  <c r="A8" i="10"/>
  <c r="A77" i="10"/>
  <c r="A29" i="10"/>
  <c r="A13" i="10"/>
  <c r="A22" i="10"/>
  <c r="A85" i="10"/>
  <c r="A10" i="10"/>
  <c r="A125" i="10"/>
  <c r="A109" i="10"/>
  <c r="A93" i="10"/>
  <c r="A45" i="10"/>
  <c r="A6" i="10"/>
  <c r="A130" i="10"/>
  <c r="A114" i="10"/>
  <c r="A98" i="10"/>
  <c r="A82" i="10"/>
  <c r="A66" i="10"/>
  <c r="A50" i="10"/>
  <c r="A34" i="10"/>
  <c r="A44" i="10"/>
  <c r="A54" i="10"/>
  <c r="A37" i="10"/>
  <c r="A135" i="10"/>
  <c r="A119" i="10"/>
  <c r="A103" i="10"/>
  <c r="A87" i="10"/>
  <c r="A71" i="10"/>
  <c r="A55" i="10"/>
  <c r="A39" i="10"/>
  <c r="A23" i="10"/>
  <c r="A7" i="10"/>
  <c r="A92" i="10"/>
  <c r="A76" i="10"/>
  <c r="A86" i="10"/>
  <c r="A96" i="10"/>
  <c r="A16" i="10"/>
  <c r="A124" i="10"/>
  <c r="A108" i="10"/>
  <c r="A102" i="10"/>
  <c r="A38" i="10"/>
  <c r="A112" i="10"/>
  <c r="A21" i="10"/>
  <c r="A90" i="10"/>
  <c r="A58" i="10"/>
  <c r="A129" i="10"/>
  <c r="A113" i="10"/>
  <c r="A97" i="10"/>
  <c r="A81" i="10"/>
  <c r="A65" i="10"/>
  <c r="A49" i="10"/>
  <c r="A33" i="10"/>
  <c r="A128" i="10"/>
  <c r="A64" i="10"/>
  <c r="A101" i="10"/>
  <c r="A53" i="10"/>
  <c r="A5" i="10"/>
  <c r="A134" i="10"/>
  <c r="A118" i="10"/>
  <c r="A69" i="10"/>
  <c r="A122" i="10"/>
  <c r="A42" i="10"/>
  <c r="A123" i="10"/>
  <c r="A107" i="10"/>
  <c r="A91" i="10"/>
  <c r="A75" i="10"/>
  <c r="A43" i="10"/>
  <c r="A32" i="10"/>
  <c r="A3" i="10"/>
  <c r="E2" i="10"/>
  <c r="C2" i="10"/>
  <c r="E132" i="7"/>
  <c r="C132" i="7"/>
  <c r="E131" i="7"/>
  <c r="C131" i="7"/>
  <c r="E130" i="7"/>
  <c r="C130" i="7"/>
  <c r="E129" i="7"/>
  <c r="C129" i="7"/>
  <c r="E128" i="7"/>
  <c r="C128" i="7"/>
  <c r="E127" i="7"/>
  <c r="C127" i="7"/>
  <c r="E126" i="7"/>
  <c r="C126" i="7"/>
  <c r="E125" i="7"/>
  <c r="C125" i="7"/>
  <c r="E124" i="7"/>
  <c r="C124" i="7"/>
  <c r="E123" i="7"/>
  <c r="C123" i="7"/>
  <c r="E122" i="7"/>
  <c r="C122" i="7"/>
  <c r="E121" i="7"/>
  <c r="C121" i="7"/>
  <c r="E120" i="7"/>
  <c r="C120" i="7"/>
  <c r="E119" i="7"/>
  <c r="C119" i="7"/>
  <c r="E118" i="7"/>
  <c r="C118" i="7"/>
  <c r="E117" i="7"/>
  <c r="C117" i="7"/>
  <c r="E116" i="7"/>
  <c r="C116" i="7"/>
  <c r="E115" i="7"/>
  <c r="C115" i="7"/>
  <c r="E114" i="7"/>
  <c r="C114" i="7"/>
  <c r="E113" i="7"/>
  <c r="C113" i="7"/>
  <c r="E112" i="7"/>
  <c r="C112" i="7"/>
  <c r="E111" i="7"/>
  <c r="C111" i="7"/>
  <c r="E110" i="7"/>
  <c r="C110" i="7"/>
  <c r="E109" i="7"/>
  <c r="C109" i="7"/>
  <c r="E108" i="7"/>
  <c r="C108" i="7"/>
  <c r="E107" i="7"/>
  <c r="C107" i="7"/>
  <c r="E106" i="7"/>
  <c r="C106" i="7"/>
  <c r="E105" i="7"/>
  <c r="C105" i="7"/>
  <c r="E104" i="7"/>
  <c r="C104" i="7"/>
  <c r="E103" i="7"/>
  <c r="C103" i="7"/>
  <c r="E102" i="7"/>
  <c r="C102" i="7"/>
  <c r="E101" i="7"/>
  <c r="C101" i="7"/>
  <c r="E100" i="7"/>
  <c r="C100" i="7"/>
  <c r="E99" i="7"/>
  <c r="C99" i="7"/>
  <c r="E98" i="7"/>
  <c r="C98" i="7"/>
  <c r="E97" i="7"/>
  <c r="C97" i="7"/>
  <c r="E96" i="7"/>
  <c r="C96" i="7"/>
  <c r="E95" i="7"/>
  <c r="C95" i="7"/>
  <c r="E94" i="7"/>
  <c r="C94" i="7"/>
  <c r="E93" i="7"/>
  <c r="C93" i="7"/>
  <c r="E92" i="7"/>
  <c r="C92" i="7"/>
  <c r="E91" i="7"/>
  <c r="C91" i="7"/>
  <c r="E90" i="7"/>
  <c r="C90" i="7"/>
  <c r="E89" i="7"/>
  <c r="C89" i="7"/>
  <c r="E88" i="7"/>
  <c r="C88" i="7"/>
  <c r="E87" i="7"/>
  <c r="C87" i="7"/>
  <c r="E86" i="7"/>
  <c r="C86" i="7"/>
  <c r="E85" i="7"/>
  <c r="C85" i="7"/>
  <c r="E84" i="7"/>
  <c r="C84" i="7"/>
  <c r="E83" i="7"/>
  <c r="C83" i="7"/>
  <c r="E82" i="7"/>
  <c r="C82" i="7"/>
  <c r="E81" i="7"/>
  <c r="C81" i="7"/>
  <c r="E80" i="7"/>
  <c r="C80" i="7"/>
  <c r="E79" i="7"/>
  <c r="C79" i="7"/>
  <c r="E78" i="7"/>
  <c r="C78" i="7"/>
  <c r="E77" i="7"/>
  <c r="C77" i="7"/>
  <c r="E76" i="7"/>
  <c r="C76" i="7"/>
  <c r="E75" i="7"/>
  <c r="C75" i="7"/>
  <c r="E74" i="7"/>
  <c r="C74" i="7"/>
  <c r="E73" i="7"/>
  <c r="C73" i="7"/>
  <c r="E72" i="7"/>
  <c r="C72" i="7"/>
  <c r="E71" i="7"/>
  <c r="C71" i="7"/>
  <c r="E70" i="7"/>
  <c r="C70" i="7"/>
  <c r="E69" i="7"/>
  <c r="C69" i="7"/>
  <c r="E68" i="7"/>
  <c r="C68" i="7"/>
  <c r="E67" i="7"/>
  <c r="C67" i="7"/>
  <c r="E66" i="7"/>
  <c r="C66" i="7"/>
  <c r="E65" i="7"/>
  <c r="C65" i="7"/>
  <c r="E64" i="7"/>
  <c r="C64" i="7"/>
  <c r="E63" i="7"/>
  <c r="C63" i="7"/>
  <c r="E62" i="7"/>
  <c r="C62" i="7"/>
  <c r="E61" i="7"/>
  <c r="C61" i="7"/>
  <c r="E60" i="7"/>
  <c r="C60" i="7"/>
  <c r="E59" i="7"/>
  <c r="C59" i="7"/>
  <c r="E58" i="7"/>
  <c r="C58" i="7"/>
  <c r="E57" i="7"/>
  <c r="C57" i="7"/>
  <c r="E56" i="7"/>
  <c r="C56" i="7"/>
  <c r="E55" i="7"/>
  <c r="C55" i="7"/>
  <c r="E54" i="7"/>
  <c r="C54" i="7"/>
  <c r="E53" i="7"/>
  <c r="C53" i="7"/>
  <c r="E52" i="7"/>
  <c r="C52" i="7"/>
  <c r="E51" i="7"/>
  <c r="C51" i="7"/>
  <c r="E50" i="7"/>
  <c r="C50" i="7"/>
  <c r="E49" i="7"/>
  <c r="C49" i="7"/>
  <c r="E48" i="7"/>
  <c r="C48" i="7"/>
  <c r="E47" i="7"/>
  <c r="C47" i="7"/>
  <c r="E46" i="7"/>
  <c r="C46" i="7"/>
  <c r="E45" i="7"/>
  <c r="C45" i="7"/>
  <c r="E44" i="7"/>
  <c r="C44" i="7"/>
  <c r="E43" i="7"/>
  <c r="C43" i="7"/>
  <c r="E42" i="7"/>
  <c r="C42" i="7"/>
  <c r="E41" i="7"/>
  <c r="C41" i="7"/>
  <c r="E40" i="7"/>
  <c r="C40" i="7"/>
  <c r="E39" i="7"/>
  <c r="C39" i="7"/>
  <c r="E38" i="7"/>
  <c r="C38" i="7"/>
  <c r="E37" i="7"/>
  <c r="C37" i="7"/>
  <c r="E36" i="7"/>
  <c r="C36" i="7"/>
  <c r="E35" i="7"/>
  <c r="C35" i="7"/>
  <c r="E34" i="7"/>
  <c r="C34" i="7"/>
  <c r="E33" i="7"/>
  <c r="C33" i="7"/>
  <c r="E32" i="7"/>
  <c r="C32" i="7"/>
  <c r="E31" i="7"/>
  <c r="C31" i="7"/>
  <c r="E30" i="7"/>
  <c r="C30" i="7"/>
  <c r="E29" i="7"/>
  <c r="C29" i="7"/>
  <c r="E28" i="7"/>
  <c r="C28" i="7"/>
  <c r="E27" i="7"/>
  <c r="C27" i="7"/>
  <c r="E26" i="7"/>
  <c r="C26" i="7"/>
  <c r="E25" i="7"/>
  <c r="C25" i="7"/>
  <c r="E24" i="7"/>
  <c r="C24" i="7"/>
  <c r="E23" i="7"/>
  <c r="C23" i="7"/>
  <c r="E22" i="7"/>
  <c r="C22" i="7"/>
  <c r="E21" i="7"/>
  <c r="C21" i="7"/>
  <c r="E20" i="7"/>
  <c r="C20" i="7"/>
  <c r="E19" i="7"/>
  <c r="C19" i="7"/>
  <c r="E18" i="7"/>
  <c r="C18" i="7"/>
  <c r="E17" i="7"/>
  <c r="C17" i="7"/>
  <c r="E16" i="7"/>
  <c r="C16" i="7"/>
  <c r="E15" i="7"/>
  <c r="C15" i="7"/>
  <c r="E14" i="7"/>
  <c r="C14" i="7"/>
  <c r="E13" i="7"/>
  <c r="C13" i="7"/>
  <c r="E12" i="7"/>
  <c r="C12" i="7"/>
  <c r="E11" i="7"/>
  <c r="C11" i="7"/>
  <c r="E10" i="7"/>
  <c r="C10" i="7"/>
  <c r="E9" i="7"/>
  <c r="C9" i="7"/>
  <c r="E8" i="7"/>
  <c r="C8" i="7"/>
  <c r="E7" i="7"/>
  <c r="C7" i="7"/>
  <c r="E6" i="7"/>
  <c r="C6" i="7"/>
  <c r="E5" i="7"/>
  <c r="C5" i="7"/>
  <c r="E4" i="7"/>
  <c r="C4" i="7"/>
  <c r="E3" i="7"/>
  <c r="C3" i="7"/>
  <c r="E2" i="7"/>
  <c r="C2" i="7"/>
  <c r="E172" i="5"/>
  <c r="C172" i="5"/>
  <c r="E171" i="5"/>
  <c r="C171" i="5"/>
  <c r="E170" i="5"/>
  <c r="C170" i="5"/>
  <c r="E169" i="5"/>
  <c r="C169" i="5"/>
  <c r="E168" i="5"/>
  <c r="C168" i="5"/>
  <c r="E167" i="5"/>
  <c r="C167" i="5"/>
  <c r="E166" i="5"/>
  <c r="C166" i="5"/>
  <c r="E165" i="5"/>
  <c r="C165" i="5"/>
  <c r="E164" i="5"/>
  <c r="C164" i="5"/>
  <c r="E163" i="5"/>
  <c r="C163" i="5"/>
  <c r="E162" i="5"/>
  <c r="C162" i="5"/>
  <c r="E161" i="5"/>
  <c r="C161" i="5"/>
  <c r="E160" i="5"/>
  <c r="C160" i="5"/>
  <c r="E159" i="5"/>
  <c r="C159" i="5"/>
  <c r="E158" i="5"/>
  <c r="C158" i="5"/>
  <c r="E157" i="5"/>
  <c r="C157" i="5"/>
  <c r="E156" i="5"/>
  <c r="C156" i="5"/>
  <c r="E155" i="5"/>
  <c r="C155" i="5"/>
  <c r="E154" i="5"/>
  <c r="C154" i="5"/>
  <c r="E153" i="5"/>
  <c r="C153" i="5"/>
  <c r="E152" i="5"/>
  <c r="C152" i="5"/>
  <c r="E151" i="5"/>
  <c r="C151" i="5"/>
  <c r="E150" i="5"/>
  <c r="C150" i="5"/>
  <c r="E149" i="5"/>
  <c r="C149" i="5"/>
  <c r="E148" i="5"/>
  <c r="C148" i="5"/>
  <c r="E147" i="5"/>
  <c r="C147" i="5"/>
  <c r="E146" i="5"/>
  <c r="C146" i="5"/>
  <c r="E145" i="5"/>
  <c r="C145" i="5"/>
  <c r="E144" i="5"/>
  <c r="C144" i="5"/>
  <c r="E143" i="5"/>
  <c r="C143" i="5"/>
  <c r="E142" i="5"/>
  <c r="C142" i="5"/>
  <c r="E141" i="5"/>
  <c r="C141" i="5"/>
  <c r="E140" i="5"/>
  <c r="C140" i="5"/>
  <c r="E139" i="5"/>
  <c r="C139" i="5"/>
  <c r="E138" i="5"/>
  <c r="C138" i="5"/>
  <c r="E137" i="5"/>
  <c r="C137" i="5"/>
  <c r="E136" i="5"/>
  <c r="C136" i="5"/>
  <c r="E135" i="5"/>
  <c r="C135" i="5"/>
  <c r="E134" i="5"/>
  <c r="C134" i="5"/>
  <c r="E133" i="5"/>
  <c r="C133" i="5"/>
  <c r="E132" i="5"/>
  <c r="C132" i="5"/>
  <c r="E131" i="5"/>
  <c r="C131" i="5"/>
  <c r="E130" i="5"/>
  <c r="C130" i="5"/>
  <c r="E129" i="5"/>
  <c r="C129" i="5"/>
  <c r="E128" i="5"/>
  <c r="C128" i="5"/>
  <c r="E127" i="5"/>
  <c r="C127" i="5"/>
  <c r="E126" i="5"/>
  <c r="C126" i="5"/>
  <c r="E125" i="5"/>
  <c r="C125" i="5"/>
  <c r="E124" i="5"/>
  <c r="C124" i="5"/>
  <c r="E123" i="5"/>
  <c r="C123" i="5"/>
  <c r="E122" i="5"/>
  <c r="C122" i="5"/>
  <c r="E121" i="5"/>
  <c r="C121" i="5"/>
  <c r="E120" i="5"/>
  <c r="C120" i="5"/>
  <c r="E119" i="5"/>
  <c r="C119" i="5"/>
  <c r="E118" i="5"/>
  <c r="C118" i="5"/>
  <c r="E117" i="5"/>
  <c r="C117" i="5"/>
  <c r="E116" i="5"/>
  <c r="C116" i="5"/>
  <c r="E115" i="5"/>
  <c r="C115" i="5"/>
  <c r="E114" i="5"/>
  <c r="C114" i="5"/>
  <c r="E113" i="5"/>
  <c r="C113" i="5"/>
  <c r="E112" i="5"/>
  <c r="C112" i="5"/>
  <c r="E111" i="5"/>
  <c r="C111" i="5"/>
  <c r="E110" i="5"/>
  <c r="C110" i="5"/>
  <c r="E109" i="5"/>
  <c r="C109" i="5"/>
  <c r="E108" i="5"/>
  <c r="C108" i="5"/>
  <c r="E107" i="5"/>
  <c r="C107" i="5"/>
  <c r="E106" i="5"/>
  <c r="C106" i="5"/>
  <c r="E105" i="5"/>
  <c r="C105" i="5"/>
  <c r="E104" i="5"/>
  <c r="C104" i="5"/>
  <c r="E103" i="5"/>
  <c r="C103" i="5"/>
  <c r="E102" i="5"/>
  <c r="C102" i="5"/>
  <c r="E101" i="5"/>
  <c r="C101" i="5"/>
  <c r="E100" i="5"/>
  <c r="C100" i="5"/>
  <c r="E99" i="5"/>
  <c r="C99" i="5"/>
  <c r="E98" i="5"/>
  <c r="C98" i="5"/>
  <c r="E97" i="5"/>
  <c r="C97" i="5"/>
  <c r="E96" i="5"/>
  <c r="C96" i="5"/>
  <c r="E95" i="5"/>
  <c r="C95" i="5"/>
  <c r="E94" i="5"/>
  <c r="C94" i="5"/>
  <c r="E93" i="5"/>
  <c r="C93" i="5"/>
  <c r="E92" i="5"/>
  <c r="C92" i="5"/>
  <c r="E91" i="5"/>
  <c r="C91" i="5"/>
  <c r="E90" i="5"/>
  <c r="C90" i="5"/>
  <c r="E89" i="5"/>
  <c r="C89" i="5"/>
  <c r="E88" i="5"/>
  <c r="C88" i="5"/>
  <c r="E87" i="5"/>
  <c r="C87" i="5"/>
  <c r="E86" i="5"/>
  <c r="C86" i="5"/>
  <c r="E85" i="5"/>
  <c r="C85" i="5"/>
  <c r="E84" i="5"/>
  <c r="C84" i="5"/>
  <c r="E83" i="5"/>
  <c r="C83" i="5"/>
  <c r="E82" i="5"/>
  <c r="C82" i="5"/>
  <c r="E81" i="5"/>
  <c r="C81" i="5"/>
  <c r="E80" i="5"/>
  <c r="C80" i="5"/>
  <c r="E79" i="5"/>
  <c r="C79" i="5"/>
  <c r="E78" i="5"/>
  <c r="C78" i="5"/>
  <c r="E77" i="5"/>
  <c r="C77" i="5"/>
  <c r="E76" i="5"/>
  <c r="C76" i="5"/>
  <c r="E75" i="5"/>
  <c r="C75" i="5"/>
  <c r="E74" i="5"/>
  <c r="C74" i="5"/>
  <c r="E73" i="5"/>
  <c r="C73" i="5"/>
  <c r="E72" i="5"/>
  <c r="C72" i="5"/>
  <c r="E71" i="5"/>
  <c r="C71" i="5"/>
  <c r="E70" i="5"/>
  <c r="C70" i="5"/>
  <c r="E69" i="5"/>
  <c r="C69" i="5"/>
  <c r="E68" i="5"/>
  <c r="C68" i="5"/>
  <c r="E67" i="5"/>
  <c r="C67" i="5"/>
  <c r="E66" i="5"/>
  <c r="C66" i="5"/>
  <c r="E65" i="5"/>
  <c r="C65" i="5"/>
  <c r="E64" i="5"/>
  <c r="C64" i="5"/>
  <c r="E63" i="5"/>
  <c r="C63" i="5"/>
  <c r="E62" i="5"/>
  <c r="C62" i="5"/>
  <c r="E61" i="5"/>
  <c r="C61" i="5"/>
  <c r="E60" i="5"/>
  <c r="C60" i="5"/>
  <c r="E59" i="5"/>
  <c r="C59" i="5"/>
  <c r="E58" i="5"/>
  <c r="C58" i="5"/>
  <c r="E57" i="5"/>
  <c r="C57" i="5"/>
  <c r="E56" i="5"/>
  <c r="C56" i="5"/>
  <c r="E55" i="5"/>
  <c r="C55" i="5"/>
  <c r="E54" i="5"/>
  <c r="C54" i="5"/>
  <c r="E53" i="5"/>
  <c r="C53" i="5"/>
  <c r="E52" i="5"/>
  <c r="C52" i="5"/>
  <c r="E51" i="5"/>
  <c r="C51" i="5"/>
  <c r="E50" i="5"/>
  <c r="C50" i="5"/>
  <c r="E49" i="5"/>
  <c r="C49" i="5"/>
  <c r="E48" i="5"/>
  <c r="C48" i="5"/>
  <c r="E47" i="5"/>
  <c r="C47" i="5"/>
  <c r="E46" i="5"/>
  <c r="C46" i="5"/>
  <c r="E45" i="5"/>
  <c r="C45" i="5"/>
  <c r="E44" i="5"/>
  <c r="C44" i="5"/>
  <c r="E43" i="5"/>
  <c r="C43" i="5"/>
  <c r="E42" i="5"/>
  <c r="C42" i="5"/>
  <c r="E41" i="5"/>
  <c r="C41" i="5"/>
  <c r="E40" i="5"/>
  <c r="C40" i="5"/>
  <c r="E39" i="5"/>
  <c r="C39" i="5"/>
  <c r="E38" i="5"/>
  <c r="C38" i="5"/>
  <c r="E37" i="5"/>
  <c r="C37" i="5"/>
  <c r="E36" i="5"/>
  <c r="C36" i="5"/>
  <c r="E35" i="5"/>
  <c r="C35" i="5"/>
  <c r="E34" i="5"/>
  <c r="C34" i="5"/>
  <c r="E33" i="5"/>
  <c r="C33" i="5"/>
  <c r="E32" i="5"/>
  <c r="C32" i="5"/>
  <c r="E31" i="5"/>
  <c r="C31" i="5"/>
  <c r="E30" i="5"/>
  <c r="C30" i="5"/>
  <c r="E29" i="5"/>
  <c r="C29" i="5"/>
  <c r="E28" i="5"/>
  <c r="C28" i="5"/>
  <c r="E27" i="5"/>
  <c r="C27" i="5"/>
  <c r="E26" i="5"/>
  <c r="C26" i="5"/>
  <c r="E25" i="5"/>
  <c r="C25" i="5"/>
  <c r="E24" i="5"/>
  <c r="C24" i="5"/>
  <c r="E23" i="5"/>
  <c r="C23" i="5"/>
  <c r="E22" i="5"/>
  <c r="C22" i="5"/>
  <c r="E21" i="5"/>
  <c r="C21" i="5"/>
  <c r="E20" i="5"/>
  <c r="C20" i="5"/>
  <c r="E19" i="5"/>
  <c r="C19" i="5"/>
  <c r="E18" i="5"/>
  <c r="C18" i="5"/>
  <c r="E17" i="5"/>
  <c r="C17" i="5"/>
  <c r="E16" i="5"/>
  <c r="C16" i="5"/>
  <c r="E15" i="5"/>
  <c r="C15" i="5"/>
  <c r="E14" i="5"/>
  <c r="C14" i="5"/>
  <c r="E13" i="5"/>
  <c r="C13" i="5"/>
  <c r="E12" i="5"/>
  <c r="C12" i="5"/>
  <c r="E11" i="5"/>
  <c r="C11" i="5"/>
  <c r="E10" i="5"/>
  <c r="C10" i="5"/>
  <c r="E9" i="5"/>
  <c r="C9" i="5"/>
  <c r="E8" i="5"/>
  <c r="C8" i="5"/>
  <c r="E7" i="5"/>
  <c r="C7" i="5"/>
  <c r="E6" i="5"/>
  <c r="C6" i="5"/>
  <c r="E5" i="5"/>
  <c r="C5" i="5"/>
  <c r="E4" i="5"/>
  <c r="C4" i="5"/>
  <c r="E3" i="5"/>
  <c r="C3" i="5"/>
  <c r="E2" i="5"/>
  <c r="C2" i="5"/>
  <c r="E544" i="4"/>
  <c r="C544" i="4"/>
  <c r="E543" i="4"/>
  <c r="C543" i="4"/>
  <c r="E542" i="4"/>
  <c r="C542" i="4"/>
  <c r="E541" i="4"/>
  <c r="C541" i="4"/>
  <c r="E540" i="4"/>
  <c r="C540" i="4"/>
  <c r="E539" i="4"/>
  <c r="C539" i="4"/>
  <c r="E538" i="4"/>
  <c r="C538" i="4"/>
  <c r="E537" i="4"/>
  <c r="C537" i="4"/>
  <c r="E536" i="4"/>
  <c r="C536" i="4"/>
  <c r="E535" i="4"/>
  <c r="C535" i="4"/>
  <c r="E534" i="4"/>
  <c r="C534" i="4"/>
  <c r="E533" i="4"/>
  <c r="C533" i="4"/>
  <c r="E532" i="4"/>
  <c r="C532" i="4"/>
  <c r="E531" i="4"/>
  <c r="C531" i="4"/>
  <c r="E530" i="4"/>
  <c r="C530" i="4"/>
  <c r="E529" i="4"/>
  <c r="C529" i="4"/>
  <c r="E528" i="4"/>
  <c r="C528" i="4"/>
  <c r="E527" i="4"/>
  <c r="C527" i="4"/>
  <c r="E526" i="4"/>
  <c r="C526" i="4"/>
  <c r="E525" i="4"/>
  <c r="C525" i="4"/>
  <c r="E524" i="4"/>
  <c r="C524" i="4"/>
  <c r="E523" i="4"/>
  <c r="C523" i="4"/>
  <c r="E522" i="4"/>
  <c r="C522" i="4"/>
  <c r="E521" i="4"/>
  <c r="C521" i="4"/>
  <c r="E520" i="4"/>
  <c r="C520" i="4"/>
  <c r="E519" i="4"/>
  <c r="C519" i="4"/>
  <c r="E518" i="4"/>
  <c r="C518" i="4"/>
  <c r="E517" i="4"/>
  <c r="C517" i="4"/>
  <c r="E516" i="4"/>
  <c r="C516" i="4"/>
  <c r="E515" i="4"/>
  <c r="C515" i="4"/>
  <c r="E514" i="4"/>
  <c r="C514" i="4"/>
  <c r="E513" i="4"/>
  <c r="C513" i="4"/>
  <c r="E512" i="4"/>
  <c r="C512" i="4"/>
  <c r="E511" i="4"/>
  <c r="C511" i="4"/>
  <c r="E510" i="4"/>
  <c r="C510" i="4"/>
  <c r="E509" i="4"/>
  <c r="C509" i="4"/>
  <c r="E508" i="4"/>
  <c r="C508" i="4"/>
  <c r="E507" i="4"/>
  <c r="C507" i="4"/>
  <c r="E506" i="4"/>
  <c r="C506" i="4"/>
  <c r="E505" i="4"/>
  <c r="C505" i="4"/>
  <c r="E504" i="4"/>
  <c r="C504" i="4"/>
  <c r="E503" i="4"/>
  <c r="C503" i="4"/>
  <c r="E502" i="4"/>
  <c r="C502" i="4"/>
  <c r="E501" i="4"/>
  <c r="C501" i="4"/>
  <c r="E500" i="4"/>
  <c r="C500" i="4"/>
  <c r="E499" i="4"/>
  <c r="C499" i="4"/>
  <c r="E498" i="4"/>
  <c r="C498" i="4"/>
  <c r="E497" i="4"/>
  <c r="C497" i="4"/>
  <c r="E496" i="4"/>
  <c r="C496" i="4"/>
  <c r="E495" i="4"/>
  <c r="C495" i="4"/>
  <c r="E494" i="4"/>
  <c r="C494" i="4"/>
  <c r="E493" i="4"/>
  <c r="C493" i="4"/>
  <c r="E492" i="4"/>
  <c r="C492" i="4"/>
  <c r="E491" i="4"/>
  <c r="C491" i="4"/>
  <c r="E490" i="4"/>
  <c r="C490" i="4"/>
  <c r="E489" i="4"/>
  <c r="C489" i="4"/>
  <c r="E488" i="4"/>
  <c r="C488" i="4"/>
  <c r="E487" i="4"/>
  <c r="C487" i="4"/>
  <c r="E486" i="4"/>
  <c r="C486" i="4"/>
  <c r="E485" i="4"/>
  <c r="C485" i="4"/>
  <c r="E484" i="4"/>
  <c r="C484" i="4"/>
  <c r="E483" i="4"/>
  <c r="C483" i="4"/>
  <c r="E482" i="4"/>
  <c r="C482" i="4"/>
  <c r="E481" i="4"/>
  <c r="C481" i="4"/>
  <c r="E480" i="4"/>
  <c r="C480" i="4"/>
  <c r="E479" i="4"/>
  <c r="C479" i="4"/>
  <c r="E478" i="4"/>
  <c r="C478" i="4"/>
  <c r="E477" i="4"/>
  <c r="C477" i="4"/>
  <c r="E476" i="4"/>
  <c r="C476" i="4"/>
  <c r="E475" i="4"/>
  <c r="C475" i="4"/>
  <c r="E474" i="4"/>
  <c r="C474" i="4"/>
  <c r="E473" i="4"/>
  <c r="C473" i="4"/>
  <c r="E472" i="4"/>
  <c r="C472" i="4"/>
  <c r="E471" i="4"/>
  <c r="C471" i="4"/>
  <c r="E470" i="4"/>
  <c r="C470" i="4"/>
  <c r="E469" i="4"/>
  <c r="C469" i="4"/>
  <c r="E468" i="4"/>
  <c r="C468" i="4"/>
  <c r="E467" i="4"/>
  <c r="C467" i="4"/>
  <c r="E466" i="4"/>
  <c r="C466" i="4"/>
  <c r="E465" i="4"/>
  <c r="C465" i="4"/>
  <c r="E464" i="4"/>
  <c r="C464" i="4"/>
  <c r="E463" i="4"/>
  <c r="C463" i="4"/>
  <c r="E462" i="4"/>
  <c r="C462" i="4"/>
  <c r="E461" i="4"/>
  <c r="C461" i="4"/>
  <c r="E460" i="4"/>
  <c r="C460" i="4"/>
  <c r="E459" i="4"/>
  <c r="C459" i="4"/>
  <c r="E458" i="4"/>
  <c r="C458" i="4"/>
  <c r="E457" i="4"/>
  <c r="C457" i="4"/>
  <c r="E456" i="4"/>
  <c r="C456" i="4"/>
  <c r="E455" i="4"/>
  <c r="C455" i="4"/>
  <c r="E454" i="4"/>
  <c r="C454" i="4"/>
  <c r="E453" i="4"/>
  <c r="C453" i="4"/>
  <c r="E452" i="4"/>
  <c r="C452" i="4"/>
  <c r="E451" i="4"/>
  <c r="C451" i="4"/>
  <c r="E450" i="4"/>
  <c r="C450" i="4"/>
  <c r="E449" i="4"/>
  <c r="C449" i="4"/>
  <c r="E448" i="4"/>
  <c r="C448" i="4"/>
  <c r="E447" i="4"/>
  <c r="C447" i="4"/>
  <c r="E446" i="4"/>
  <c r="C446" i="4"/>
  <c r="E445" i="4"/>
  <c r="C445" i="4"/>
  <c r="E444" i="4"/>
  <c r="C444" i="4"/>
  <c r="E443" i="4"/>
  <c r="C443" i="4"/>
  <c r="E442" i="4"/>
  <c r="C442" i="4"/>
  <c r="E441" i="4"/>
  <c r="C441" i="4"/>
  <c r="E440" i="4"/>
  <c r="C440" i="4"/>
  <c r="E439" i="4"/>
  <c r="C439" i="4"/>
  <c r="E438" i="4"/>
  <c r="C438" i="4"/>
  <c r="E437" i="4"/>
  <c r="C437" i="4"/>
  <c r="E436" i="4"/>
  <c r="C436" i="4"/>
  <c r="E435" i="4"/>
  <c r="C435" i="4"/>
  <c r="E434" i="4"/>
  <c r="C434" i="4"/>
  <c r="E433" i="4"/>
  <c r="C433" i="4"/>
  <c r="E432" i="4"/>
  <c r="C432" i="4"/>
  <c r="E431" i="4"/>
  <c r="C431" i="4"/>
  <c r="E430" i="4"/>
  <c r="C430" i="4"/>
  <c r="E429" i="4"/>
  <c r="C429" i="4"/>
  <c r="E428" i="4"/>
  <c r="C428" i="4"/>
  <c r="E427" i="4"/>
  <c r="C427" i="4"/>
  <c r="E426" i="4"/>
  <c r="C426" i="4"/>
  <c r="E425" i="4"/>
  <c r="C425" i="4"/>
  <c r="E424" i="4"/>
  <c r="C424" i="4"/>
  <c r="E423" i="4"/>
  <c r="C423" i="4"/>
  <c r="E422" i="4"/>
  <c r="C422" i="4"/>
  <c r="E421" i="4"/>
  <c r="C421" i="4"/>
  <c r="E420" i="4"/>
  <c r="C420" i="4"/>
  <c r="E419" i="4"/>
  <c r="C419" i="4"/>
  <c r="E418" i="4"/>
  <c r="C418" i="4"/>
  <c r="E417" i="4"/>
  <c r="C417" i="4"/>
  <c r="E416" i="4"/>
  <c r="C416" i="4"/>
  <c r="E415" i="4"/>
  <c r="C415" i="4"/>
  <c r="E414" i="4"/>
  <c r="C414" i="4"/>
  <c r="E413" i="4"/>
  <c r="C413" i="4"/>
  <c r="E412" i="4"/>
  <c r="C412" i="4"/>
  <c r="E411" i="4"/>
  <c r="C411" i="4"/>
  <c r="E410" i="4"/>
  <c r="C410" i="4"/>
  <c r="E409" i="4"/>
  <c r="C409" i="4"/>
  <c r="E408" i="4"/>
  <c r="C408" i="4"/>
  <c r="E407" i="4"/>
  <c r="C407" i="4"/>
  <c r="E406" i="4"/>
  <c r="C406" i="4"/>
  <c r="E405" i="4"/>
  <c r="C405" i="4"/>
  <c r="E404" i="4"/>
  <c r="C404" i="4"/>
  <c r="E403" i="4"/>
  <c r="C403" i="4"/>
  <c r="E402" i="4"/>
  <c r="C402" i="4"/>
  <c r="E401" i="4"/>
  <c r="C401" i="4"/>
  <c r="E400" i="4"/>
  <c r="C400" i="4"/>
  <c r="E399" i="4"/>
  <c r="C399" i="4"/>
  <c r="E398" i="4"/>
  <c r="C398" i="4"/>
  <c r="E397" i="4"/>
  <c r="C397" i="4"/>
  <c r="E396" i="4"/>
  <c r="C396" i="4"/>
  <c r="E395" i="4"/>
  <c r="C395" i="4"/>
  <c r="E394" i="4"/>
  <c r="C394" i="4"/>
  <c r="E393" i="4"/>
  <c r="C393" i="4"/>
  <c r="E392" i="4"/>
  <c r="C392" i="4"/>
  <c r="E391" i="4"/>
  <c r="C391" i="4"/>
  <c r="E390" i="4"/>
  <c r="C390" i="4"/>
  <c r="E389" i="4"/>
  <c r="C389" i="4"/>
  <c r="E388" i="4"/>
  <c r="C388" i="4"/>
  <c r="E387" i="4"/>
  <c r="C387" i="4"/>
  <c r="E386" i="4"/>
  <c r="C386" i="4"/>
  <c r="E385" i="4"/>
  <c r="C385" i="4"/>
  <c r="E384" i="4"/>
  <c r="C384" i="4"/>
  <c r="E383" i="4"/>
  <c r="C383" i="4"/>
  <c r="E382" i="4"/>
  <c r="C382" i="4"/>
  <c r="E381" i="4"/>
  <c r="C381" i="4"/>
  <c r="E380" i="4"/>
  <c r="C380" i="4"/>
  <c r="E379" i="4"/>
  <c r="C379" i="4"/>
  <c r="E378" i="4"/>
  <c r="C378" i="4"/>
  <c r="E377" i="4"/>
  <c r="C377" i="4"/>
  <c r="E376" i="4"/>
  <c r="C376" i="4"/>
  <c r="E375" i="4"/>
  <c r="C375" i="4"/>
  <c r="E374" i="4"/>
  <c r="C374" i="4"/>
  <c r="E373" i="4"/>
  <c r="C373" i="4"/>
  <c r="E372" i="4"/>
  <c r="C372" i="4"/>
  <c r="E371" i="4"/>
  <c r="C371" i="4"/>
  <c r="E370" i="4"/>
  <c r="C370" i="4"/>
  <c r="E369" i="4"/>
  <c r="C369" i="4"/>
  <c r="E368" i="4"/>
  <c r="C368" i="4"/>
  <c r="E367" i="4"/>
  <c r="C367" i="4"/>
  <c r="E366" i="4"/>
  <c r="C366" i="4"/>
  <c r="E365" i="4"/>
  <c r="C365" i="4"/>
  <c r="E364" i="4"/>
  <c r="C364" i="4"/>
  <c r="E363" i="4"/>
  <c r="C363" i="4"/>
  <c r="E362" i="4"/>
  <c r="C362" i="4"/>
  <c r="E361" i="4"/>
  <c r="C361" i="4"/>
  <c r="E360" i="4"/>
  <c r="C360" i="4"/>
  <c r="E359" i="4"/>
  <c r="C359" i="4"/>
  <c r="E358" i="4"/>
  <c r="C358" i="4"/>
  <c r="E357" i="4"/>
  <c r="C357" i="4"/>
  <c r="E356" i="4"/>
  <c r="C356" i="4"/>
  <c r="E355" i="4"/>
  <c r="C355" i="4"/>
  <c r="E354" i="4"/>
  <c r="C354" i="4"/>
  <c r="E353" i="4"/>
  <c r="C353" i="4"/>
  <c r="E352" i="4"/>
  <c r="C352" i="4"/>
  <c r="E351" i="4"/>
  <c r="C351" i="4"/>
  <c r="E350" i="4"/>
  <c r="C350" i="4"/>
  <c r="E349" i="4"/>
  <c r="C349" i="4"/>
  <c r="E348" i="4"/>
  <c r="C348" i="4"/>
  <c r="E347" i="4"/>
  <c r="C347" i="4"/>
  <c r="E346" i="4"/>
  <c r="C346" i="4"/>
  <c r="E345" i="4"/>
  <c r="C345" i="4"/>
  <c r="E344" i="4"/>
  <c r="C344" i="4"/>
  <c r="E343" i="4"/>
  <c r="C343" i="4"/>
  <c r="E342" i="4"/>
  <c r="C342" i="4"/>
  <c r="E341" i="4"/>
  <c r="C341" i="4"/>
  <c r="E340" i="4"/>
  <c r="C340" i="4"/>
  <c r="E339" i="4"/>
  <c r="C339" i="4"/>
  <c r="E338" i="4"/>
  <c r="C338" i="4"/>
  <c r="E337" i="4"/>
  <c r="C337" i="4"/>
  <c r="E336" i="4"/>
  <c r="C336" i="4"/>
  <c r="E335" i="4"/>
  <c r="C335" i="4"/>
  <c r="E334" i="4"/>
  <c r="C334" i="4"/>
  <c r="E333" i="4"/>
  <c r="C333" i="4"/>
  <c r="E332" i="4"/>
  <c r="C332" i="4"/>
  <c r="E331" i="4"/>
  <c r="C331" i="4"/>
  <c r="E330" i="4"/>
  <c r="C330" i="4"/>
  <c r="E329" i="4"/>
  <c r="C329" i="4"/>
  <c r="E328" i="4"/>
  <c r="C328" i="4"/>
  <c r="E327" i="4"/>
  <c r="C327" i="4"/>
  <c r="E326" i="4"/>
  <c r="C326" i="4"/>
  <c r="E325" i="4"/>
  <c r="C325" i="4"/>
  <c r="E324" i="4"/>
  <c r="C324" i="4"/>
  <c r="E323" i="4"/>
  <c r="C323" i="4"/>
  <c r="E322" i="4"/>
  <c r="C322" i="4"/>
  <c r="E321" i="4"/>
  <c r="C321" i="4"/>
  <c r="E320" i="4"/>
  <c r="C320" i="4"/>
  <c r="E319" i="4"/>
  <c r="C319" i="4"/>
  <c r="E318" i="4"/>
  <c r="C318" i="4"/>
  <c r="E317" i="4"/>
  <c r="C317" i="4"/>
  <c r="E316" i="4"/>
  <c r="C316" i="4"/>
  <c r="E315" i="4"/>
  <c r="C315" i="4"/>
  <c r="E314" i="4"/>
  <c r="C314" i="4"/>
  <c r="E313" i="4"/>
  <c r="C313" i="4"/>
  <c r="E312" i="4"/>
  <c r="C312" i="4"/>
  <c r="E311" i="4"/>
  <c r="C311" i="4"/>
  <c r="E310" i="4"/>
  <c r="C310" i="4"/>
  <c r="E309" i="4"/>
  <c r="C309" i="4"/>
  <c r="E308" i="4"/>
  <c r="C308" i="4"/>
  <c r="E307" i="4"/>
  <c r="C307" i="4"/>
  <c r="E306" i="4"/>
  <c r="C306" i="4"/>
  <c r="E305" i="4"/>
  <c r="C305" i="4"/>
  <c r="E304" i="4"/>
  <c r="C304" i="4"/>
  <c r="E303" i="4"/>
  <c r="C303" i="4"/>
  <c r="E302" i="4"/>
  <c r="C302" i="4"/>
  <c r="E301" i="4"/>
  <c r="C301" i="4"/>
  <c r="E300" i="4"/>
  <c r="C300" i="4"/>
  <c r="E299" i="4"/>
  <c r="C299" i="4"/>
  <c r="E298" i="4"/>
  <c r="C298" i="4"/>
  <c r="E297" i="4"/>
  <c r="C297" i="4"/>
  <c r="E296" i="4"/>
  <c r="C296" i="4"/>
  <c r="E295" i="4"/>
  <c r="C295" i="4"/>
  <c r="E294" i="4"/>
  <c r="C294" i="4"/>
  <c r="E293" i="4"/>
  <c r="C293" i="4"/>
  <c r="E292" i="4"/>
  <c r="C292" i="4"/>
  <c r="E291" i="4"/>
  <c r="C291" i="4"/>
  <c r="E290" i="4"/>
  <c r="C290" i="4"/>
  <c r="E289" i="4"/>
  <c r="C289" i="4"/>
  <c r="E288" i="4"/>
  <c r="C288" i="4"/>
  <c r="E287" i="4"/>
  <c r="C287" i="4"/>
  <c r="E286" i="4"/>
  <c r="C286" i="4"/>
  <c r="E285" i="4"/>
  <c r="C285" i="4"/>
  <c r="E284" i="4"/>
  <c r="C284" i="4"/>
  <c r="E283" i="4"/>
  <c r="C283" i="4"/>
  <c r="E282" i="4"/>
  <c r="C282" i="4"/>
  <c r="E281" i="4"/>
  <c r="C281" i="4"/>
  <c r="E280" i="4"/>
  <c r="C280" i="4"/>
  <c r="E279" i="4"/>
  <c r="C279" i="4"/>
  <c r="E278" i="4"/>
  <c r="C278" i="4"/>
  <c r="E277" i="4"/>
  <c r="C277" i="4"/>
  <c r="E276" i="4"/>
  <c r="C276" i="4"/>
  <c r="E275" i="4"/>
  <c r="C275" i="4"/>
  <c r="E274" i="4"/>
  <c r="C274" i="4"/>
  <c r="E273" i="4"/>
  <c r="C273" i="4"/>
  <c r="E272" i="4"/>
  <c r="C272" i="4"/>
  <c r="E271" i="4"/>
  <c r="C271" i="4"/>
  <c r="E270" i="4"/>
  <c r="C270" i="4"/>
  <c r="E269" i="4"/>
  <c r="C269" i="4"/>
  <c r="E268" i="4"/>
  <c r="C268" i="4"/>
  <c r="E267" i="4"/>
  <c r="C267" i="4"/>
  <c r="E266" i="4"/>
  <c r="C266" i="4"/>
  <c r="E265" i="4"/>
  <c r="C265" i="4"/>
  <c r="E264" i="4"/>
  <c r="C264" i="4"/>
  <c r="E263" i="4"/>
  <c r="C263" i="4"/>
  <c r="E262" i="4"/>
  <c r="C262" i="4"/>
  <c r="E261" i="4"/>
  <c r="C261" i="4"/>
  <c r="E260" i="4"/>
  <c r="C260" i="4"/>
  <c r="E259" i="4"/>
  <c r="C259" i="4"/>
  <c r="E258" i="4"/>
  <c r="C258" i="4"/>
  <c r="E257" i="4"/>
  <c r="C257" i="4"/>
  <c r="E256" i="4"/>
  <c r="C256" i="4"/>
  <c r="E255" i="4"/>
  <c r="C255" i="4"/>
  <c r="E254" i="4"/>
  <c r="C254" i="4"/>
  <c r="E253" i="4"/>
  <c r="C253" i="4"/>
  <c r="E252" i="4"/>
  <c r="C252" i="4"/>
  <c r="E251" i="4"/>
  <c r="C251" i="4"/>
  <c r="E250" i="4"/>
  <c r="C250" i="4"/>
  <c r="E249" i="4"/>
  <c r="C249" i="4"/>
  <c r="E248" i="4"/>
  <c r="C248" i="4"/>
  <c r="E247" i="4"/>
  <c r="C247" i="4"/>
  <c r="E246" i="4"/>
  <c r="C246" i="4"/>
  <c r="E245" i="4"/>
  <c r="C245" i="4"/>
  <c r="E244" i="4"/>
  <c r="C244" i="4"/>
  <c r="E243" i="4"/>
  <c r="C243" i="4"/>
  <c r="E242" i="4"/>
  <c r="C242" i="4"/>
  <c r="E241" i="4"/>
  <c r="C241" i="4"/>
  <c r="E240" i="4"/>
  <c r="C240" i="4"/>
  <c r="E239" i="4"/>
  <c r="C239" i="4"/>
  <c r="E238" i="4"/>
  <c r="C238" i="4"/>
  <c r="E237" i="4"/>
  <c r="C237" i="4"/>
  <c r="E236" i="4"/>
  <c r="C236" i="4"/>
  <c r="E235" i="4"/>
  <c r="C235" i="4"/>
  <c r="E234" i="4"/>
  <c r="C234" i="4"/>
  <c r="E233" i="4"/>
  <c r="C233" i="4"/>
  <c r="E232" i="4"/>
  <c r="C232" i="4"/>
  <c r="E231" i="4"/>
  <c r="C231" i="4"/>
  <c r="E230" i="4"/>
  <c r="C230" i="4"/>
  <c r="E229" i="4"/>
  <c r="C229" i="4"/>
  <c r="E228" i="4"/>
  <c r="C228" i="4"/>
  <c r="E227" i="4"/>
  <c r="C227" i="4"/>
  <c r="E226" i="4"/>
  <c r="C226" i="4"/>
  <c r="E225" i="4"/>
  <c r="C225" i="4"/>
  <c r="E224" i="4"/>
  <c r="C224" i="4"/>
  <c r="E223" i="4"/>
  <c r="C223" i="4"/>
  <c r="E222" i="4"/>
  <c r="C222" i="4"/>
  <c r="E221" i="4"/>
  <c r="C221" i="4"/>
  <c r="E220" i="4"/>
  <c r="C220" i="4"/>
  <c r="E219" i="4"/>
  <c r="C219" i="4"/>
  <c r="E218" i="4"/>
  <c r="C218" i="4"/>
  <c r="E217" i="4"/>
  <c r="C217" i="4"/>
  <c r="E216" i="4"/>
  <c r="C216" i="4"/>
  <c r="E215" i="4"/>
  <c r="C215" i="4"/>
  <c r="E214" i="4"/>
  <c r="C214" i="4"/>
  <c r="E213" i="4"/>
  <c r="C213" i="4"/>
  <c r="E212" i="4"/>
  <c r="C212" i="4"/>
  <c r="E211" i="4"/>
  <c r="C211" i="4"/>
  <c r="E210" i="4"/>
  <c r="C210" i="4"/>
  <c r="E209" i="4"/>
  <c r="C209" i="4"/>
  <c r="E208" i="4"/>
  <c r="C208" i="4"/>
  <c r="E207" i="4"/>
  <c r="C207" i="4"/>
  <c r="E206" i="4"/>
  <c r="C206" i="4"/>
  <c r="E205" i="4"/>
  <c r="C205" i="4"/>
  <c r="E204" i="4"/>
  <c r="C204" i="4"/>
  <c r="E203" i="4"/>
  <c r="C203" i="4"/>
  <c r="E202" i="4"/>
  <c r="C202" i="4"/>
  <c r="E201" i="4"/>
  <c r="C201" i="4"/>
  <c r="E200" i="4"/>
  <c r="C200" i="4"/>
  <c r="E199" i="4"/>
  <c r="C199" i="4"/>
  <c r="E198" i="4"/>
  <c r="C198" i="4"/>
  <c r="E197" i="4"/>
  <c r="C197" i="4"/>
  <c r="E196" i="4"/>
  <c r="C196" i="4"/>
  <c r="E195" i="4"/>
  <c r="C195" i="4"/>
  <c r="E194" i="4"/>
  <c r="C194" i="4"/>
  <c r="E193" i="4"/>
  <c r="C193" i="4"/>
  <c r="E192" i="4"/>
  <c r="C192" i="4"/>
  <c r="E191" i="4"/>
  <c r="C191" i="4"/>
  <c r="E190" i="4"/>
  <c r="C190" i="4"/>
  <c r="E189" i="4"/>
  <c r="C189" i="4"/>
  <c r="E188" i="4"/>
  <c r="C188" i="4"/>
  <c r="E187" i="4"/>
  <c r="C187" i="4"/>
  <c r="E186" i="4"/>
  <c r="C186" i="4"/>
  <c r="E185" i="4"/>
  <c r="C185" i="4"/>
  <c r="E184" i="4"/>
  <c r="C184" i="4"/>
  <c r="E183" i="4"/>
  <c r="C183" i="4"/>
  <c r="E182" i="4"/>
  <c r="C182" i="4"/>
  <c r="E181" i="4"/>
  <c r="C181" i="4"/>
  <c r="E180" i="4"/>
  <c r="C180" i="4"/>
  <c r="E179" i="4"/>
  <c r="C179" i="4"/>
  <c r="E178" i="4"/>
  <c r="C178" i="4"/>
  <c r="E177" i="4"/>
  <c r="C177" i="4"/>
  <c r="E176" i="4"/>
  <c r="C176" i="4"/>
  <c r="E175" i="4"/>
  <c r="C175" i="4"/>
  <c r="E174" i="4"/>
  <c r="C174" i="4"/>
  <c r="E173" i="4"/>
  <c r="C173" i="4"/>
  <c r="E172" i="4"/>
  <c r="C172" i="4"/>
  <c r="E171" i="4"/>
  <c r="C171" i="4"/>
  <c r="E170" i="4"/>
  <c r="C170" i="4"/>
  <c r="E169" i="4"/>
  <c r="C169" i="4"/>
  <c r="E168" i="4"/>
  <c r="C168" i="4"/>
  <c r="E167" i="4"/>
  <c r="C167" i="4"/>
  <c r="E166" i="4"/>
  <c r="C166" i="4"/>
  <c r="E165" i="4"/>
  <c r="C165" i="4"/>
  <c r="E164" i="4"/>
  <c r="C164" i="4"/>
  <c r="E163" i="4"/>
  <c r="C163" i="4"/>
  <c r="E162" i="4"/>
  <c r="C162" i="4"/>
  <c r="E161" i="4"/>
  <c r="C161" i="4"/>
  <c r="E160" i="4"/>
  <c r="C160" i="4"/>
  <c r="E159" i="4"/>
  <c r="C159" i="4"/>
  <c r="E158" i="4"/>
  <c r="C158" i="4"/>
  <c r="E157" i="4"/>
  <c r="C157" i="4"/>
  <c r="E156" i="4"/>
  <c r="C156" i="4"/>
  <c r="E155" i="4"/>
  <c r="C155" i="4"/>
  <c r="E154" i="4"/>
  <c r="C154" i="4"/>
  <c r="E153" i="4"/>
  <c r="C153" i="4"/>
  <c r="E152" i="4"/>
  <c r="C152" i="4"/>
  <c r="E151" i="4"/>
  <c r="C151" i="4"/>
  <c r="E150" i="4"/>
  <c r="C150" i="4"/>
  <c r="E149" i="4"/>
  <c r="C149" i="4"/>
  <c r="E148" i="4"/>
  <c r="C148" i="4"/>
  <c r="E147" i="4"/>
  <c r="C147" i="4"/>
  <c r="E146" i="4"/>
  <c r="C146" i="4"/>
  <c r="E145" i="4"/>
  <c r="C145" i="4"/>
  <c r="E144" i="4"/>
  <c r="C144" i="4"/>
  <c r="E143" i="4"/>
  <c r="C143" i="4"/>
  <c r="E142" i="4"/>
  <c r="C142" i="4"/>
  <c r="E141" i="4"/>
  <c r="C141" i="4"/>
  <c r="E140" i="4"/>
  <c r="C140" i="4"/>
  <c r="E139" i="4"/>
  <c r="C139" i="4"/>
  <c r="E138" i="4"/>
  <c r="C138" i="4"/>
  <c r="E137" i="4"/>
  <c r="C137" i="4"/>
  <c r="E136" i="4"/>
  <c r="C136" i="4"/>
  <c r="E135" i="4"/>
  <c r="C135" i="4"/>
  <c r="E134" i="4"/>
  <c r="C134" i="4"/>
  <c r="E133" i="4"/>
  <c r="C133" i="4"/>
  <c r="E132" i="4"/>
  <c r="C132" i="4"/>
  <c r="E131" i="4"/>
  <c r="C131" i="4"/>
  <c r="E130" i="4"/>
  <c r="C130" i="4"/>
  <c r="E129" i="4"/>
  <c r="C129" i="4"/>
  <c r="E128" i="4"/>
  <c r="C128" i="4"/>
  <c r="E127" i="4"/>
  <c r="C127" i="4"/>
  <c r="E126" i="4"/>
  <c r="C126" i="4"/>
  <c r="E125" i="4"/>
  <c r="C125" i="4"/>
  <c r="E124" i="4"/>
  <c r="C124" i="4"/>
  <c r="E123" i="4"/>
  <c r="C123" i="4"/>
  <c r="E122" i="4"/>
  <c r="C122" i="4"/>
  <c r="E121" i="4"/>
  <c r="C121" i="4"/>
  <c r="E120" i="4"/>
  <c r="C120" i="4"/>
  <c r="E119" i="4"/>
  <c r="C119" i="4"/>
  <c r="E118" i="4"/>
  <c r="C118" i="4"/>
  <c r="E117" i="4"/>
  <c r="C117" i="4"/>
  <c r="E116" i="4"/>
  <c r="C116" i="4"/>
  <c r="E115" i="4"/>
  <c r="C115" i="4"/>
  <c r="E114" i="4"/>
  <c r="C114" i="4"/>
  <c r="E113" i="4"/>
  <c r="C113" i="4"/>
  <c r="E112" i="4"/>
  <c r="C112" i="4"/>
  <c r="E111" i="4"/>
  <c r="C111" i="4"/>
  <c r="E110" i="4"/>
  <c r="C110" i="4"/>
  <c r="E109" i="4"/>
  <c r="C109" i="4"/>
  <c r="E108" i="4"/>
  <c r="C108" i="4"/>
  <c r="E107" i="4"/>
  <c r="C107" i="4"/>
  <c r="E106" i="4"/>
  <c r="C106" i="4"/>
  <c r="E105" i="4"/>
  <c r="C105" i="4"/>
  <c r="E104" i="4"/>
  <c r="C104" i="4"/>
  <c r="E103" i="4"/>
  <c r="C103" i="4"/>
  <c r="E102" i="4"/>
  <c r="C102" i="4"/>
  <c r="E101" i="4"/>
  <c r="C101" i="4"/>
  <c r="E100" i="4"/>
  <c r="C100" i="4"/>
  <c r="E99" i="4"/>
  <c r="C99" i="4"/>
  <c r="E98" i="4"/>
  <c r="C98" i="4"/>
  <c r="E97" i="4"/>
  <c r="C97" i="4"/>
  <c r="E96" i="4"/>
  <c r="C96" i="4"/>
  <c r="E95" i="4"/>
  <c r="C95" i="4"/>
  <c r="E94" i="4"/>
  <c r="C94" i="4"/>
  <c r="E93" i="4"/>
  <c r="C93" i="4"/>
  <c r="E92" i="4"/>
  <c r="C92" i="4"/>
  <c r="E91" i="4"/>
  <c r="C91" i="4"/>
  <c r="E90" i="4"/>
  <c r="C90" i="4"/>
  <c r="E89" i="4"/>
  <c r="C89" i="4"/>
  <c r="E88" i="4"/>
  <c r="C88" i="4"/>
  <c r="E87" i="4"/>
  <c r="C87" i="4"/>
  <c r="E86" i="4"/>
  <c r="C86" i="4"/>
  <c r="E85" i="4"/>
  <c r="C85" i="4"/>
  <c r="E84" i="4"/>
  <c r="C84" i="4"/>
  <c r="E83" i="4"/>
  <c r="C83" i="4"/>
  <c r="E82" i="4"/>
  <c r="C82" i="4"/>
  <c r="E81" i="4"/>
  <c r="C81" i="4"/>
  <c r="E80" i="4"/>
  <c r="C80" i="4"/>
  <c r="E79" i="4"/>
  <c r="C79" i="4"/>
  <c r="E78" i="4"/>
  <c r="C78" i="4"/>
  <c r="E77" i="4"/>
  <c r="C77" i="4"/>
  <c r="E76" i="4"/>
  <c r="C76" i="4"/>
  <c r="E75" i="4"/>
  <c r="C75" i="4"/>
  <c r="E74" i="4"/>
  <c r="C74" i="4"/>
  <c r="E73" i="4"/>
  <c r="C73" i="4"/>
  <c r="E72" i="4"/>
  <c r="C72" i="4"/>
  <c r="E71" i="4"/>
  <c r="C71" i="4"/>
  <c r="E70" i="4"/>
  <c r="C70" i="4"/>
  <c r="E69" i="4"/>
  <c r="C69" i="4"/>
  <c r="E68" i="4"/>
  <c r="C68" i="4"/>
  <c r="E67" i="4"/>
  <c r="C67" i="4"/>
  <c r="E66" i="4"/>
  <c r="C66" i="4"/>
  <c r="E65" i="4"/>
  <c r="C65" i="4"/>
  <c r="E64" i="4"/>
  <c r="C64" i="4"/>
  <c r="E63" i="4"/>
  <c r="C63" i="4"/>
  <c r="E62" i="4"/>
  <c r="C62" i="4"/>
  <c r="E61" i="4"/>
  <c r="C61" i="4"/>
  <c r="E60" i="4"/>
  <c r="C60" i="4"/>
  <c r="E59" i="4"/>
  <c r="C59" i="4"/>
  <c r="E58" i="4"/>
  <c r="C58" i="4"/>
  <c r="E57" i="4"/>
  <c r="C57" i="4"/>
  <c r="E56" i="4"/>
  <c r="C56" i="4"/>
  <c r="E55" i="4"/>
  <c r="C55" i="4"/>
  <c r="E54" i="4"/>
  <c r="C54" i="4"/>
  <c r="E53" i="4"/>
  <c r="C53" i="4"/>
  <c r="E52" i="4"/>
  <c r="C52" i="4"/>
  <c r="E51" i="4"/>
  <c r="C51" i="4"/>
  <c r="E50" i="4"/>
  <c r="C50" i="4"/>
  <c r="E49" i="4"/>
  <c r="C49" i="4"/>
  <c r="E48" i="4"/>
  <c r="C48" i="4"/>
  <c r="E47" i="4"/>
  <c r="C47" i="4"/>
  <c r="E46" i="4"/>
  <c r="C46" i="4"/>
  <c r="E45" i="4"/>
  <c r="C45" i="4"/>
  <c r="E44" i="4"/>
  <c r="C44" i="4"/>
  <c r="E43" i="4"/>
  <c r="C43" i="4"/>
  <c r="E42" i="4"/>
  <c r="C42" i="4"/>
  <c r="E41" i="4"/>
  <c r="C41" i="4"/>
  <c r="E40" i="4"/>
  <c r="C40" i="4"/>
  <c r="E39" i="4"/>
  <c r="C39" i="4"/>
  <c r="E38" i="4"/>
  <c r="C38" i="4"/>
  <c r="E37" i="4"/>
  <c r="C37" i="4"/>
  <c r="E36" i="4"/>
  <c r="C36" i="4"/>
  <c r="E35" i="4"/>
  <c r="C35" i="4"/>
  <c r="E34" i="4"/>
  <c r="C34" i="4"/>
  <c r="E33" i="4"/>
  <c r="C33" i="4"/>
  <c r="E32" i="4"/>
  <c r="C32" i="4"/>
  <c r="E31" i="4"/>
  <c r="C31" i="4"/>
  <c r="E30" i="4"/>
  <c r="C30" i="4"/>
  <c r="E29" i="4"/>
  <c r="C29" i="4"/>
  <c r="E28" i="4"/>
  <c r="C28" i="4"/>
  <c r="E27" i="4"/>
  <c r="C27" i="4"/>
  <c r="E26" i="4"/>
  <c r="C26" i="4"/>
  <c r="E25" i="4"/>
  <c r="C25" i="4"/>
  <c r="E24" i="4"/>
  <c r="C24" i="4"/>
  <c r="E23" i="4"/>
  <c r="C23" i="4"/>
  <c r="E22" i="4"/>
  <c r="C22" i="4"/>
  <c r="E21" i="4"/>
  <c r="C21" i="4"/>
  <c r="E20" i="4"/>
  <c r="C20" i="4"/>
  <c r="E19" i="4"/>
  <c r="C19" i="4"/>
  <c r="E18" i="4"/>
  <c r="C18" i="4"/>
  <c r="E17" i="4"/>
  <c r="C17" i="4"/>
  <c r="E16" i="4"/>
  <c r="C16" i="4"/>
  <c r="E15" i="4"/>
  <c r="C15" i="4"/>
  <c r="E14" i="4"/>
  <c r="C14" i="4"/>
  <c r="E13" i="4"/>
  <c r="C13" i="4"/>
  <c r="E12" i="4"/>
  <c r="C12" i="4"/>
  <c r="E11" i="4"/>
  <c r="C11" i="4"/>
  <c r="E10" i="4"/>
  <c r="C10" i="4"/>
  <c r="E9" i="4"/>
  <c r="C9" i="4"/>
  <c r="E8" i="4"/>
  <c r="C8" i="4"/>
  <c r="E7" i="4"/>
  <c r="C7" i="4"/>
  <c r="E6" i="4"/>
  <c r="C6" i="4"/>
  <c r="E5" i="4"/>
  <c r="C5" i="4"/>
  <c r="E4" i="4"/>
  <c r="C4" i="4"/>
  <c r="E3" i="4"/>
  <c r="C3" i="4"/>
  <c r="E2" i="4"/>
  <c r="C2" i="4"/>
  <c r="E160" i="1"/>
  <c r="C160" i="1"/>
  <c r="A2" i="10"/>
  <c r="A122" i="7"/>
  <c r="A106" i="7"/>
  <c r="A90" i="7"/>
  <c r="A74" i="7"/>
  <c r="A58" i="7"/>
  <c r="A42" i="7"/>
  <c r="A26" i="7"/>
  <c r="A10" i="7"/>
  <c r="A96" i="7"/>
  <c r="A127" i="7"/>
  <c r="A111" i="7"/>
  <c r="A95" i="7"/>
  <c r="A79" i="7"/>
  <c r="A63" i="7"/>
  <c r="A47" i="7"/>
  <c r="A31" i="7"/>
  <c r="A15" i="7"/>
  <c r="A69" i="7"/>
  <c r="A132" i="7"/>
  <c r="A116" i="7"/>
  <c r="A100" i="7"/>
  <c r="A84" i="7"/>
  <c r="A68" i="7"/>
  <c r="A52" i="7"/>
  <c r="A36" i="7"/>
  <c r="A20" i="7"/>
  <c r="A4" i="7"/>
  <c r="A91" i="7"/>
  <c r="A121" i="7"/>
  <c r="A105" i="7"/>
  <c r="A89" i="7"/>
  <c r="A73" i="7"/>
  <c r="A57" i="7"/>
  <c r="A41" i="7"/>
  <c r="A25" i="7"/>
  <c r="A9" i="7"/>
  <c r="A32" i="7"/>
  <c r="A16" i="7"/>
  <c r="A126" i="7"/>
  <c r="A110" i="7"/>
  <c r="A94" i="7"/>
  <c r="A78" i="7"/>
  <c r="A62" i="7"/>
  <c r="A46" i="7"/>
  <c r="A30" i="7"/>
  <c r="A14" i="7"/>
  <c r="A123" i="7"/>
  <c r="A43" i="7"/>
  <c r="A48" i="7"/>
  <c r="A53" i="7"/>
  <c r="A37" i="7"/>
  <c r="A131" i="7"/>
  <c r="A115" i="7"/>
  <c r="A99" i="7"/>
  <c r="A83" i="7"/>
  <c r="A67" i="7"/>
  <c r="A51" i="7"/>
  <c r="A35" i="7"/>
  <c r="A19" i="7"/>
  <c r="A3" i="7"/>
  <c r="A59" i="7"/>
  <c r="A27" i="7"/>
  <c r="A128" i="7"/>
  <c r="A64" i="7"/>
  <c r="A117" i="7"/>
  <c r="A120" i="7"/>
  <c r="A104" i="7"/>
  <c r="A88" i="7"/>
  <c r="A72" i="7"/>
  <c r="A56" i="7"/>
  <c r="A40" i="7"/>
  <c r="A24" i="7"/>
  <c r="A8" i="7"/>
  <c r="A85" i="7"/>
  <c r="A125" i="7"/>
  <c r="A109" i="7"/>
  <c r="A93" i="7"/>
  <c r="A77" i="7"/>
  <c r="A61" i="7"/>
  <c r="A45" i="7"/>
  <c r="A29" i="7"/>
  <c r="A13" i="7"/>
  <c r="A130" i="7"/>
  <c r="A114" i="7"/>
  <c r="A98" i="7"/>
  <c r="A82" i="7"/>
  <c r="A66" i="7"/>
  <c r="A50" i="7"/>
  <c r="A34" i="7"/>
  <c r="A18" i="7"/>
  <c r="A2" i="7"/>
  <c r="A75" i="7"/>
  <c r="A119" i="7"/>
  <c r="A103" i="7"/>
  <c r="A87" i="7"/>
  <c r="A71" i="7"/>
  <c r="A55" i="7"/>
  <c r="A39" i="7"/>
  <c r="A23" i="7"/>
  <c r="A7" i="7"/>
  <c r="A11" i="7"/>
  <c r="A101" i="7"/>
  <c r="A21" i="7"/>
  <c r="A124" i="7"/>
  <c r="A108" i="7"/>
  <c r="A92" i="7"/>
  <c r="A76" i="7"/>
  <c r="A60" i="7"/>
  <c r="A44" i="7"/>
  <c r="A28" i="7"/>
  <c r="A12" i="7"/>
  <c r="A129" i="7"/>
  <c r="A113" i="7"/>
  <c r="A97" i="7"/>
  <c r="A81" i="7"/>
  <c r="A65" i="7"/>
  <c r="A49" i="7"/>
  <c r="A33" i="7"/>
  <c r="A17" i="7"/>
  <c r="A112" i="7"/>
  <c r="A5" i="7"/>
  <c r="A118" i="7"/>
  <c r="A102" i="7"/>
  <c r="A86" i="7"/>
  <c r="A70" i="7"/>
  <c r="A54" i="7"/>
  <c r="A38" i="7"/>
  <c r="A22" i="7"/>
  <c r="A6" i="7"/>
  <c r="A107" i="7"/>
  <c r="A80" i="7"/>
  <c r="A162" i="5"/>
  <c r="A146" i="5"/>
  <c r="A130" i="5"/>
  <c r="A114" i="5"/>
  <c r="A98" i="5"/>
  <c r="A82" i="5"/>
  <c r="A66" i="5"/>
  <c r="A50" i="5"/>
  <c r="A34" i="5"/>
  <c r="A18" i="5"/>
  <c r="A2" i="5"/>
  <c r="A28" i="5"/>
  <c r="A167" i="5"/>
  <c r="A151" i="5"/>
  <c r="A135" i="5"/>
  <c r="A119" i="5"/>
  <c r="A103" i="5"/>
  <c r="A87" i="5"/>
  <c r="A71" i="5"/>
  <c r="A55" i="5"/>
  <c r="A39" i="5"/>
  <c r="A23" i="5"/>
  <c r="A7" i="5"/>
  <c r="A65" i="5"/>
  <c r="A6" i="5"/>
  <c r="A172" i="5"/>
  <c r="A156" i="5"/>
  <c r="A140" i="5"/>
  <c r="A124" i="5"/>
  <c r="A108" i="5"/>
  <c r="A92" i="5"/>
  <c r="A76" i="5"/>
  <c r="A60" i="5"/>
  <c r="A44" i="5"/>
  <c r="A12" i="5"/>
  <c r="A161" i="5"/>
  <c r="A145" i="5"/>
  <c r="A129" i="5"/>
  <c r="A113" i="5"/>
  <c r="A97" i="5"/>
  <c r="A81" i="5"/>
  <c r="A49" i="5"/>
  <c r="A33" i="5"/>
  <c r="A17" i="5"/>
  <c r="A24" i="5"/>
  <c r="A166" i="5"/>
  <c r="A150" i="5"/>
  <c r="A134" i="5"/>
  <c r="A118" i="5"/>
  <c r="A102" i="5"/>
  <c r="A86" i="5"/>
  <c r="A70" i="5"/>
  <c r="A54" i="5"/>
  <c r="A38" i="5"/>
  <c r="A22" i="5"/>
  <c r="A56" i="5"/>
  <c r="A171" i="5"/>
  <c r="A155" i="5"/>
  <c r="A139" i="5"/>
  <c r="A123" i="5"/>
  <c r="A107" i="5"/>
  <c r="A91" i="5"/>
  <c r="A75" i="5"/>
  <c r="A59" i="5"/>
  <c r="A43" i="5"/>
  <c r="A27" i="5"/>
  <c r="A11" i="5"/>
  <c r="A88" i="5"/>
  <c r="A160" i="5"/>
  <c r="A144" i="5"/>
  <c r="A128" i="5"/>
  <c r="A112" i="5"/>
  <c r="A96" i="5"/>
  <c r="A80" i="5"/>
  <c r="A64" i="5"/>
  <c r="A48" i="5"/>
  <c r="A32" i="5"/>
  <c r="A16" i="5"/>
  <c r="A25" i="5"/>
  <c r="A165" i="5"/>
  <c r="A149" i="5"/>
  <c r="A133" i="5"/>
  <c r="A117" i="5"/>
  <c r="A101" i="5"/>
  <c r="A85" i="5"/>
  <c r="A69" i="5"/>
  <c r="A53" i="5"/>
  <c r="A37" i="5"/>
  <c r="A21" i="5"/>
  <c r="A5" i="5"/>
  <c r="A31" i="5"/>
  <c r="A104" i="5"/>
  <c r="A170" i="5"/>
  <c r="A154" i="5"/>
  <c r="A138" i="5"/>
  <c r="A122" i="5"/>
  <c r="A106" i="5"/>
  <c r="A90" i="5"/>
  <c r="A74" i="5"/>
  <c r="A58" i="5"/>
  <c r="A42" i="5"/>
  <c r="A26" i="5"/>
  <c r="A10" i="5"/>
  <c r="A159" i="5"/>
  <c r="A143" i="5"/>
  <c r="A127" i="5"/>
  <c r="A111" i="5"/>
  <c r="A95" i="5"/>
  <c r="A79" i="5"/>
  <c r="A63" i="5"/>
  <c r="A47" i="5"/>
  <c r="A15" i="5"/>
  <c r="A72" i="5"/>
  <c r="A164" i="5"/>
  <c r="A148" i="5"/>
  <c r="A132" i="5"/>
  <c r="A116" i="5"/>
  <c r="A100" i="5"/>
  <c r="A84" i="5"/>
  <c r="A68" i="5"/>
  <c r="A52" i="5"/>
  <c r="A36" i="5"/>
  <c r="A20" i="5"/>
  <c r="A4" i="5"/>
  <c r="A169" i="5"/>
  <c r="A153" i="5"/>
  <c r="A137" i="5"/>
  <c r="A121" i="5"/>
  <c r="A105" i="5"/>
  <c r="A89" i="5"/>
  <c r="A73" i="5"/>
  <c r="A57" i="5"/>
  <c r="A41" i="5"/>
  <c r="A9" i="5"/>
  <c r="A40" i="5"/>
  <c r="A158" i="5"/>
  <c r="A142" i="5"/>
  <c r="A126" i="5"/>
  <c r="A110" i="5"/>
  <c r="A94" i="5"/>
  <c r="A78" i="5"/>
  <c r="A62" i="5"/>
  <c r="A46" i="5"/>
  <c r="A30" i="5"/>
  <c r="A14" i="5"/>
  <c r="A163" i="5"/>
  <c r="A147" i="5"/>
  <c r="A131" i="5"/>
  <c r="A115" i="5"/>
  <c r="A99" i="5"/>
  <c r="A83" i="5"/>
  <c r="A67" i="5"/>
  <c r="A51" i="5"/>
  <c r="A35" i="5"/>
  <c r="A19" i="5"/>
  <c r="A3" i="5"/>
  <c r="A168" i="5"/>
  <c r="A152" i="5"/>
  <c r="A136" i="5"/>
  <c r="A120" i="5"/>
  <c r="A8" i="5"/>
  <c r="A157" i="5"/>
  <c r="A141" i="5"/>
  <c r="A125" i="5"/>
  <c r="A109" i="5"/>
  <c r="A93" i="5"/>
  <c r="A77" i="5"/>
  <c r="A61" i="5"/>
  <c r="A45" i="5"/>
  <c r="A29" i="5"/>
  <c r="A13" i="5"/>
  <c r="A534" i="4"/>
  <c r="A518" i="4"/>
  <c r="A502" i="4"/>
  <c r="A486" i="4"/>
  <c r="A470" i="4"/>
  <c r="A454" i="4"/>
  <c r="A438" i="4"/>
  <c r="A422" i="4"/>
  <c r="A406" i="4"/>
  <c r="A390" i="4"/>
  <c r="A374" i="4"/>
  <c r="A358" i="4"/>
  <c r="A342" i="4"/>
  <c r="A326" i="4"/>
  <c r="A310" i="4"/>
  <c r="A294" i="4"/>
  <c r="A278" i="4"/>
  <c r="A262" i="4"/>
  <c r="A246" i="4"/>
  <c r="A230" i="4"/>
  <c r="A214" i="4"/>
  <c r="A198" i="4"/>
  <c r="A182" i="4"/>
  <c r="A166" i="4"/>
  <c r="A150" i="4"/>
  <c r="A134" i="4"/>
  <c r="A118" i="4"/>
  <c r="A102" i="4"/>
  <c r="A86" i="4"/>
  <c r="A70" i="4"/>
  <c r="A54" i="4"/>
  <c r="A38" i="4"/>
  <c r="A22" i="4"/>
  <c r="A6" i="4"/>
  <c r="A117" i="4"/>
  <c r="A101" i="4"/>
  <c r="A53" i="4"/>
  <c r="A90" i="4"/>
  <c r="A10" i="4"/>
  <c r="A220" i="4"/>
  <c r="A539" i="4"/>
  <c r="A523" i="4"/>
  <c r="A507" i="4"/>
  <c r="A491" i="4"/>
  <c r="A475" i="4"/>
  <c r="A459" i="4"/>
  <c r="A443" i="4"/>
  <c r="A427" i="4"/>
  <c r="A411" i="4"/>
  <c r="A395" i="4"/>
  <c r="A379" i="4"/>
  <c r="A363" i="4"/>
  <c r="A347" i="4"/>
  <c r="A331" i="4"/>
  <c r="A315" i="4"/>
  <c r="A299" i="4"/>
  <c r="A283" i="4"/>
  <c r="A267" i="4"/>
  <c r="A251" i="4"/>
  <c r="A235" i="4"/>
  <c r="A219" i="4"/>
  <c r="A203" i="4"/>
  <c r="A187" i="4"/>
  <c r="A171" i="4"/>
  <c r="A155" i="4"/>
  <c r="A139" i="4"/>
  <c r="A123" i="4"/>
  <c r="A107" i="4"/>
  <c r="A91" i="4"/>
  <c r="A75" i="4"/>
  <c r="A59" i="4"/>
  <c r="A43" i="4"/>
  <c r="A27" i="4"/>
  <c r="A11" i="4"/>
  <c r="A224" i="4"/>
  <c r="A208" i="4"/>
  <c r="A192" i="4"/>
  <c r="A176" i="4"/>
  <c r="A144" i="4"/>
  <c r="A112" i="4"/>
  <c r="A96" i="4"/>
  <c r="A64" i="4"/>
  <c r="A197" i="4"/>
  <c r="A181" i="4"/>
  <c r="A165" i="4"/>
  <c r="A26" i="4"/>
  <c r="A460" i="4"/>
  <c r="A348" i="4"/>
  <c r="A156" i="4"/>
  <c r="A544" i="4"/>
  <c r="A528" i="4"/>
  <c r="A512" i="4"/>
  <c r="A496" i="4"/>
  <c r="A480" i="4"/>
  <c r="A464" i="4"/>
  <c r="A448" i="4"/>
  <c r="A432" i="4"/>
  <c r="A416" i="4"/>
  <c r="A400" i="4"/>
  <c r="A384" i="4"/>
  <c r="A368" i="4"/>
  <c r="A352" i="4"/>
  <c r="A336" i="4"/>
  <c r="A320" i="4"/>
  <c r="A304" i="4"/>
  <c r="A288" i="4"/>
  <c r="A272" i="4"/>
  <c r="A256" i="4"/>
  <c r="A240" i="4"/>
  <c r="A160" i="4"/>
  <c r="A128" i="4"/>
  <c r="A80" i="4"/>
  <c r="A48" i="4"/>
  <c r="A32" i="4"/>
  <c r="A16" i="4"/>
  <c r="A85" i="4"/>
  <c r="A37" i="4"/>
  <c r="A5" i="4"/>
  <c r="A122" i="4"/>
  <c r="A428" i="4"/>
  <c r="A533" i="4"/>
  <c r="A517" i="4"/>
  <c r="A501" i="4"/>
  <c r="A485" i="4"/>
  <c r="A469" i="4"/>
  <c r="A453" i="4"/>
  <c r="A437" i="4"/>
  <c r="A421" i="4"/>
  <c r="A405" i="4"/>
  <c r="A389" i="4"/>
  <c r="A373" i="4"/>
  <c r="A357" i="4"/>
  <c r="A341" i="4"/>
  <c r="A325" i="4"/>
  <c r="A309" i="4"/>
  <c r="A293" i="4"/>
  <c r="A277" i="4"/>
  <c r="A261" i="4"/>
  <c r="A245" i="4"/>
  <c r="A229" i="4"/>
  <c r="A213" i="4"/>
  <c r="A149" i="4"/>
  <c r="A133" i="4"/>
  <c r="A69" i="4"/>
  <c r="A21" i="4"/>
  <c r="A396" i="4"/>
  <c r="A108" i="4"/>
  <c r="A44" i="4"/>
  <c r="A538" i="4"/>
  <c r="A522" i="4"/>
  <c r="A506" i="4"/>
  <c r="A490" i="4"/>
  <c r="A474" i="4"/>
  <c r="A458" i="4"/>
  <c r="A442" i="4"/>
  <c r="A426" i="4"/>
  <c r="A410" i="4"/>
  <c r="A394" i="4"/>
  <c r="A378" i="4"/>
  <c r="A362" i="4"/>
  <c r="A346" i="4"/>
  <c r="A330" i="4"/>
  <c r="A314" i="4"/>
  <c r="A298" i="4"/>
  <c r="A282" i="4"/>
  <c r="A266" i="4"/>
  <c r="A250" i="4"/>
  <c r="A234" i="4"/>
  <c r="A218" i="4"/>
  <c r="A202" i="4"/>
  <c r="A186" i="4"/>
  <c r="A170" i="4"/>
  <c r="A154" i="4"/>
  <c r="A138" i="4"/>
  <c r="A106" i="4"/>
  <c r="A74" i="4"/>
  <c r="A58" i="4"/>
  <c r="A42" i="4"/>
  <c r="A444" i="4"/>
  <c r="A364" i="4"/>
  <c r="A316" i="4"/>
  <c r="A236" i="4"/>
  <c r="A204" i="4"/>
  <c r="A172" i="4"/>
  <c r="A140" i="4"/>
  <c r="A543" i="4"/>
  <c r="A527" i="4"/>
  <c r="A511" i="4"/>
  <c r="A495" i="4"/>
  <c r="A479" i="4"/>
  <c r="A463" i="4"/>
  <c r="A447" i="4"/>
  <c r="A431" i="4"/>
  <c r="A415" i="4"/>
  <c r="A399" i="4"/>
  <c r="A383" i="4"/>
  <c r="A367" i="4"/>
  <c r="A351" i="4"/>
  <c r="A335" i="4"/>
  <c r="A319" i="4"/>
  <c r="A303" i="4"/>
  <c r="A287" i="4"/>
  <c r="A271" i="4"/>
  <c r="A255" i="4"/>
  <c r="A239" i="4"/>
  <c r="A223" i="4"/>
  <c r="A207" i="4"/>
  <c r="A191" i="4"/>
  <c r="A175" i="4"/>
  <c r="A159" i="4"/>
  <c r="A143" i="4"/>
  <c r="A127" i="4"/>
  <c r="A111" i="4"/>
  <c r="A95" i="4"/>
  <c r="A79" i="4"/>
  <c r="A63" i="4"/>
  <c r="A47" i="4"/>
  <c r="A31" i="4"/>
  <c r="A15" i="4"/>
  <c r="A532" i="4"/>
  <c r="A516" i="4"/>
  <c r="A500" i="4"/>
  <c r="A484" i="4"/>
  <c r="A468" i="4"/>
  <c r="A452" i="4"/>
  <c r="A436" i="4"/>
  <c r="A420" i="4"/>
  <c r="A404" i="4"/>
  <c r="A388" i="4"/>
  <c r="A372" i="4"/>
  <c r="A356" i="4"/>
  <c r="A340" i="4"/>
  <c r="A324" i="4"/>
  <c r="A308" i="4"/>
  <c r="A292" i="4"/>
  <c r="A276" i="4"/>
  <c r="A260" i="4"/>
  <c r="A244" i="4"/>
  <c r="A228" i="4"/>
  <c r="A212" i="4"/>
  <c r="A196" i="4"/>
  <c r="A180" i="4"/>
  <c r="A164" i="4"/>
  <c r="A148" i="4"/>
  <c r="A132" i="4"/>
  <c r="A116" i="4"/>
  <c r="A100" i="4"/>
  <c r="A84" i="4"/>
  <c r="A68" i="4"/>
  <c r="A52" i="4"/>
  <c r="A36" i="4"/>
  <c r="A20" i="4"/>
  <c r="A4" i="4"/>
  <c r="A109" i="4"/>
  <c r="A93" i="4"/>
  <c r="A50" i="4"/>
  <c r="A268" i="4"/>
  <c r="A537" i="4"/>
  <c r="A521" i="4"/>
  <c r="A505" i="4"/>
  <c r="A489" i="4"/>
  <c r="A473" i="4"/>
  <c r="A457" i="4"/>
  <c r="A441" i="4"/>
  <c r="A425" i="4"/>
  <c r="A409" i="4"/>
  <c r="A393" i="4"/>
  <c r="A377" i="4"/>
  <c r="A361" i="4"/>
  <c r="A345" i="4"/>
  <c r="A329" i="4"/>
  <c r="A313" i="4"/>
  <c r="A297" i="4"/>
  <c r="A281" i="4"/>
  <c r="A265" i="4"/>
  <c r="A249" i="4"/>
  <c r="A233" i="4"/>
  <c r="A217" i="4"/>
  <c r="A201" i="4"/>
  <c r="A185" i="4"/>
  <c r="A169" i="4"/>
  <c r="A153" i="4"/>
  <c r="A137" i="4"/>
  <c r="A121" i="4"/>
  <c r="A105" i="4"/>
  <c r="A89" i="4"/>
  <c r="A73" i="4"/>
  <c r="A57" i="4"/>
  <c r="A41" i="4"/>
  <c r="A25" i="4"/>
  <c r="A9" i="4"/>
  <c r="A120" i="4"/>
  <c r="A104" i="4"/>
  <c r="A72" i="4"/>
  <c r="A56" i="4"/>
  <c r="A40" i="4"/>
  <c r="A66" i="4"/>
  <c r="A252" i="4"/>
  <c r="A188" i="4"/>
  <c r="A60" i="4"/>
  <c r="A542" i="4"/>
  <c r="A526" i="4"/>
  <c r="A510" i="4"/>
  <c r="A494" i="4"/>
  <c r="A478" i="4"/>
  <c r="A462" i="4"/>
  <c r="A446" i="4"/>
  <c r="A430" i="4"/>
  <c r="A414" i="4"/>
  <c r="A398" i="4"/>
  <c r="A382" i="4"/>
  <c r="A366" i="4"/>
  <c r="A350" i="4"/>
  <c r="A334" i="4"/>
  <c r="A318" i="4"/>
  <c r="A302" i="4"/>
  <c r="A286" i="4"/>
  <c r="A270" i="4"/>
  <c r="A254" i="4"/>
  <c r="A238" i="4"/>
  <c r="A222" i="4"/>
  <c r="A206" i="4"/>
  <c r="A190" i="4"/>
  <c r="A174" i="4"/>
  <c r="A158" i="4"/>
  <c r="A142" i="4"/>
  <c r="A126" i="4"/>
  <c r="A110" i="4"/>
  <c r="A94" i="4"/>
  <c r="A78" i="4"/>
  <c r="A62" i="4"/>
  <c r="A46" i="4"/>
  <c r="A30" i="4"/>
  <c r="A14" i="4"/>
  <c r="A200" i="4"/>
  <c r="A168" i="4"/>
  <c r="A136" i="4"/>
  <c r="A77" i="4"/>
  <c r="A45" i="4"/>
  <c r="A114" i="4"/>
  <c r="A34" i="4"/>
  <c r="A332" i="4"/>
  <c r="A531" i="4"/>
  <c r="A515" i="4"/>
  <c r="A499" i="4"/>
  <c r="A483" i="4"/>
  <c r="A467" i="4"/>
  <c r="A451" i="4"/>
  <c r="A435" i="4"/>
  <c r="A419" i="4"/>
  <c r="A403" i="4"/>
  <c r="A387" i="4"/>
  <c r="A371" i="4"/>
  <c r="A355" i="4"/>
  <c r="A339" i="4"/>
  <c r="A323" i="4"/>
  <c r="A307" i="4"/>
  <c r="A291" i="4"/>
  <c r="A275" i="4"/>
  <c r="A259" i="4"/>
  <c r="A243" i="4"/>
  <c r="A227" i="4"/>
  <c r="A211" i="4"/>
  <c r="A195" i="4"/>
  <c r="A179" i="4"/>
  <c r="A163" i="4"/>
  <c r="A147" i="4"/>
  <c r="A131" i="4"/>
  <c r="A115" i="4"/>
  <c r="A99" i="4"/>
  <c r="A83" i="4"/>
  <c r="A67" i="4"/>
  <c r="A51" i="4"/>
  <c r="A35" i="4"/>
  <c r="A19" i="4"/>
  <c r="A3" i="4"/>
  <c r="A216" i="4"/>
  <c r="A184" i="4"/>
  <c r="A152" i="4"/>
  <c r="A88" i="4"/>
  <c r="A24" i="4"/>
  <c r="A8" i="4"/>
  <c r="A125" i="4"/>
  <c r="A18" i="4"/>
  <c r="A476" i="4"/>
  <c r="A536" i="4"/>
  <c r="A520" i="4"/>
  <c r="A504" i="4"/>
  <c r="A488" i="4"/>
  <c r="A472" i="4"/>
  <c r="A456" i="4"/>
  <c r="A440" i="4"/>
  <c r="A424" i="4"/>
  <c r="A408" i="4"/>
  <c r="A392" i="4"/>
  <c r="A376" i="4"/>
  <c r="A360" i="4"/>
  <c r="A344" i="4"/>
  <c r="A328" i="4"/>
  <c r="A312" i="4"/>
  <c r="A296" i="4"/>
  <c r="A280" i="4"/>
  <c r="A264" i="4"/>
  <c r="A248" i="4"/>
  <c r="A232" i="4"/>
  <c r="A61" i="4"/>
  <c r="A29" i="4"/>
  <c r="A2" i="4"/>
  <c r="A284" i="4"/>
  <c r="A76" i="4"/>
  <c r="A541" i="4"/>
  <c r="A525" i="4"/>
  <c r="A509" i="4"/>
  <c r="A493" i="4"/>
  <c r="A477" i="4"/>
  <c r="A461" i="4"/>
  <c r="A445" i="4"/>
  <c r="A429" i="4"/>
  <c r="A413" i="4"/>
  <c r="A397" i="4"/>
  <c r="A381" i="4"/>
  <c r="A365" i="4"/>
  <c r="A349" i="4"/>
  <c r="A333" i="4"/>
  <c r="A317" i="4"/>
  <c r="A301" i="4"/>
  <c r="A285" i="4"/>
  <c r="A269" i="4"/>
  <c r="A253" i="4"/>
  <c r="A237" i="4"/>
  <c r="A221" i="4"/>
  <c r="A205" i="4"/>
  <c r="A189" i="4"/>
  <c r="A173" i="4"/>
  <c r="A157" i="4"/>
  <c r="A141" i="4"/>
  <c r="A13" i="4"/>
  <c r="A300" i="4"/>
  <c r="A124" i="4"/>
  <c r="A12" i="4"/>
  <c r="A530" i="4"/>
  <c r="A514" i="4"/>
  <c r="A498" i="4"/>
  <c r="A482" i="4"/>
  <c r="A466" i="4"/>
  <c r="A450" i="4"/>
  <c r="A434" i="4"/>
  <c r="A418" i="4"/>
  <c r="A402" i="4"/>
  <c r="A386" i="4"/>
  <c r="A370" i="4"/>
  <c r="A354" i="4"/>
  <c r="A338" i="4"/>
  <c r="A322" i="4"/>
  <c r="A306" i="4"/>
  <c r="A290" i="4"/>
  <c r="A274" i="4"/>
  <c r="A258" i="4"/>
  <c r="A242" i="4"/>
  <c r="A226" i="4"/>
  <c r="A210" i="4"/>
  <c r="A194" i="4"/>
  <c r="A178" i="4"/>
  <c r="A162" i="4"/>
  <c r="A146" i="4"/>
  <c r="A130" i="4"/>
  <c r="A98" i="4"/>
  <c r="A82" i="4"/>
  <c r="A28" i="4"/>
  <c r="A535" i="4"/>
  <c r="A519" i="4"/>
  <c r="A503" i="4"/>
  <c r="A487" i="4"/>
  <c r="A471" i="4"/>
  <c r="A455" i="4"/>
  <c r="A439" i="4"/>
  <c r="A423" i="4"/>
  <c r="A407" i="4"/>
  <c r="A391" i="4"/>
  <c r="A375" i="4"/>
  <c r="A359" i="4"/>
  <c r="A343" i="4"/>
  <c r="A327" i="4"/>
  <c r="A311" i="4"/>
  <c r="A295" i="4"/>
  <c r="A279" i="4"/>
  <c r="A263" i="4"/>
  <c r="A247" i="4"/>
  <c r="A231" i="4"/>
  <c r="A215" i="4"/>
  <c r="A199" i="4"/>
  <c r="A183" i="4"/>
  <c r="A167" i="4"/>
  <c r="A151" i="4"/>
  <c r="A135" i="4"/>
  <c r="A119" i="4"/>
  <c r="A103" i="4"/>
  <c r="A87" i="4"/>
  <c r="A71" i="4"/>
  <c r="A55" i="4"/>
  <c r="A39" i="4"/>
  <c r="A23" i="4"/>
  <c r="A7" i="4"/>
  <c r="A540" i="4"/>
  <c r="A524" i="4"/>
  <c r="A508" i="4"/>
  <c r="A492" i="4"/>
  <c r="A412" i="4"/>
  <c r="A380" i="4"/>
  <c r="A92" i="4"/>
  <c r="A529" i="4"/>
  <c r="A513" i="4"/>
  <c r="A497" i="4"/>
  <c r="A481" i="4"/>
  <c r="A465" i="4"/>
  <c r="A449" i="4"/>
  <c r="A433" i="4"/>
  <c r="A417" i="4"/>
  <c r="A401" i="4"/>
  <c r="A385" i="4"/>
  <c r="A369" i="4"/>
  <c r="A353" i="4"/>
  <c r="A337" i="4"/>
  <c r="A321" i="4"/>
  <c r="A305" i="4"/>
  <c r="A289" i="4"/>
  <c r="A273" i="4"/>
  <c r="A257" i="4"/>
  <c r="A241" i="4"/>
  <c r="A225" i="4"/>
  <c r="A209" i="4"/>
  <c r="A193" i="4"/>
  <c r="A177" i="4"/>
  <c r="A161" i="4"/>
  <c r="A145" i="4"/>
  <c r="A129" i="4"/>
  <c r="A113" i="4"/>
  <c r="A97" i="4"/>
  <c r="A81" i="4"/>
  <c r="A65" i="4"/>
  <c r="A49" i="4"/>
  <c r="A33" i="4"/>
  <c r="A17" i="4"/>
  <c r="A160" i="1"/>
  <c r="E159" i="1"/>
  <c r="C159" i="1"/>
  <c r="A159" i="1"/>
  <c r="E158" i="1"/>
  <c r="C158" i="1"/>
  <c r="A158" i="1"/>
  <c r="E157" i="1"/>
  <c r="C157" i="1"/>
  <c r="A157" i="1"/>
  <c r="E156" i="1"/>
  <c r="C156" i="1"/>
  <c r="A156" i="1"/>
  <c r="E155" i="1"/>
  <c r="C155" i="1"/>
  <c r="A155" i="1"/>
  <c r="E154" i="1"/>
  <c r="C154" i="1"/>
  <c r="A154" i="1"/>
  <c r="E153" i="1"/>
  <c r="C153" i="1"/>
  <c r="A153" i="1"/>
  <c r="E152" i="1"/>
  <c r="C152" i="1"/>
  <c r="A152" i="1"/>
  <c r="E151" i="1"/>
  <c r="C151" i="1"/>
  <c r="A151" i="1"/>
  <c r="E150" i="1"/>
  <c r="C150" i="1"/>
  <c r="A150" i="1"/>
  <c r="E149" i="1"/>
  <c r="C149" i="1"/>
  <c r="A149" i="1"/>
  <c r="E148" i="1"/>
  <c r="C148" i="1"/>
  <c r="A148" i="1"/>
  <c r="E147" i="1"/>
  <c r="C147" i="1"/>
  <c r="A147" i="1"/>
  <c r="E146" i="1"/>
  <c r="C146" i="1"/>
  <c r="A146" i="1"/>
  <c r="E145" i="1"/>
  <c r="C145" i="1"/>
  <c r="A145" i="1"/>
  <c r="E144" i="1"/>
  <c r="C144" i="1"/>
  <c r="A144" i="1"/>
  <c r="E143" i="1"/>
  <c r="C143" i="1"/>
  <c r="A143" i="1"/>
  <c r="E142" i="1"/>
  <c r="C142" i="1"/>
  <c r="A142" i="1"/>
  <c r="E141" i="1"/>
  <c r="C141" i="1"/>
  <c r="A141" i="1"/>
  <c r="E140" i="1"/>
  <c r="C140" i="1"/>
  <c r="A140" i="1"/>
  <c r="E139" i="1"/>
  <c r="C139" i="1"/>
  <c r="A139" i="1"/>
  <c r="E138" i="1"/>
  <c r="C138" i="1"/>
  <c r="A138" i="1"/>
  <c r="E137" i="1"/>
  <c r="C137" i="1"/>
  <c r="A137" i="1"/>
  <c r="E136" i="1"/>
  <c r="C136" i="1"/>
  <c r="A136" i="1"/>
  <c r="E135" i="1"/>
  <c r="C135" i="1"/>
  <c r="A135" i="1"/>
  <c r="E134" i="1"/>
  <c r="C134" i="1"/>
  <c r="A134" i="1"/>
  <c r="E133" i="1"/>
  <c r="C133" i="1"/>
  <c r="A133" i="1"/>
  <c r="E132" i="1"/>
  <c r="C132" i="1"/>
  <c r="A132" i="1"/>
  <c r="E131" i="1"/>
  <c r="C131" i="1"/>
  <c r="A131" i="1"/>
  <c r="E130" i="1"/>
  <c r="C130" i="1"/>
  <c r="A130" i="1"/>
  <c r="E129" i="1"/>
  <c r="C129" i="1"/>
  <c r="A129" i="1"/>
  <c r="E128" i="1"/>
  <c r="C128" i="1"/>
  <c r="A128" i="1"/>
  <c r="E127" i="1"/>
  <c r="C127" i="1"/>
  <c r="A127" i="1"/>
  <c r="E126" i="1"/>
  <c r="C126" i="1"/>
  <c r="A126" i="1"/>
  <c r="E125" i="1"/>
  <c r="C125" i="1"/>
  <c r="A125" i="1"/>
  <c r="E124" i="1"/>
  <c r="C124" i="1"/>
  <c r="A124" i="1"/>
  <c r="E123" i="1"/>
  <c r="C123" i="1"/>
  <c r="A123" i="1"/>
  <c r="E122" i="1"/>
  <c r="C122" i="1"/>
  <c r="A122" i="1"/>
  <c r="E121" i="1"/>
  <c r="C121" i="1"/>
  <c r="A121" i="1"/>
  <c r="E120" i="1"/>
  <c r="C120" i="1"/>
  <c r="A120" i="1"/>
  <c r="E119" i="1"/>
  <c r="C119" i="1"/>
  <c r="A119" i="1"/>
  <c r="E118" i="1"/>
  <c r="C118" i="1"/>
  <c r="A118" i="1"/>
  <c r="E117" i="1"/>
  <c r="C117" i="1"/>
  <c r="A117" i="1"/>
  <c r="E116" i="1"/>
  <c r="C116" i="1"/>
  <c r="A116" i="1"/>
  <c r="E115" i="1"/>
  <c r="C115" i="1"/>
  <c r="A115" i="1"/>
  <c r="E114" i="1"/>
  <c r="C114" i="1"/>
  <c r="A114" i="1"/>
  <c r="E113" i="1"/>
  <c r="C113" i="1"/>
  <c r="A113" i="1"/>
  <c r="E112" i="1"/>
  <c r="C112" i="1"/>
  <c r="A112" i="1"/>
  <c r="E111" i="1"/>
  <c r="C111" i="1"/>
  <c r="A111" i="1"/>
  <c r="E110" i="1"/>
  <c r="C110" i="1"/>
  <c r="A110" i="1"/>
  <c r="E109" i="1"/>
  <c r="C109" i="1"/>
  <c r="A109" i="1"/>
  <c r="E108" i="1"/>
  <c r="C108" i="1"/>
  <c r="A108" i="1"/>
  <c r="E107" i="1"/>
  <c r="C107" i="1"/>
  <c r="A107" i="1"/>
  <c r="E106" i="1"/>
  <c r="C106" i="1"/>
  <c r="A106" i="1"/>
  <c r="E105" i="1"/>
  <c r="C105" i="1"/>
  <c r="A105" i="1"/>
  <c r="E104" i="1"/>
  <c r="C104" i="1"/>
  <c r="A104" i="1"/>
  <c r="E103" i="1"/>
  <c r="C103" i="1"/>
  <c r="A103" i="1"/>
  <c r="E102" i="1"/>
  <c r="C102" i="1"/>
  <c r="A102" i="1"/>
  <c r="E101" i="1"/>
  <c r="C101" i="1"/>
  <c r="A101" i="1"/>
  <c r="E100" i="1"/>
  <c r="C100" i="1"/>
  <c r="A100" i="1"/>
  <c r="E99" i="1"/>
  <c r="C99" i="1"/>
  <c r="A99" i="1"/>
  <c r="E98" i="1"/>
  <c r="C98" i="1"/>
  <c r="A98" i="1"/>
  <c r="E97" i="1"/>
  <c r="C97" i="1"/>
  <c r="A97" i="1"/>
  <c r="E96" i="1"/>
  <c r="C96" i="1"/>
  <c r="A96" i="1"/>
  <c r="E95" i="1"/>
  <c r="C95" i="1"/>
  <c r="A95" i="1"/>
  <c r="E94" i="1"/>
  <c r="C94" i="1"/>
  <c r="A94" i="1"/>
  <c r="E93" i="1"/>
  <c r="C93" i="1"/>
  <c r="A93" i="1"/>
  <c r="E92" i="1"/>
  <c r="C92" i="1"/>
  <c r="A92" i="1"/>
  <c r="E91" i="1"/>
  <c r="C91" i="1"/>
  <c r="A91" i="1"/>
  <c r="E90" i="1"/>
  <c r="C90" i="1"/>
  <c r="A90" i="1"/>
  <c r="E89" i="1"/>
  <c r="C89" i="1"/>
  <c r="A89" i="1"/>
  <c r="E88" i="1"/>
  <c r="C88" i="1"/>
  <c r="A88" i="1"/>
  <c r="E87" i="1"/>
  <c r="C87" i="1"/>
  <c r="A87" i="1"/>
  <c r="E86" i="1"/>
  <c r="C86" i="1"/>
  <c r="A86" i="1"/>
  <c r="E85" i="1"/>
  <c r="C85" i="1"/>
  <c r="A85" i="1"/>
  <c r="E84" i="1"/>
  <c r="C84" i="1"/>
  <c r="A84" i="1"/>
  <c r="E83" i="1"/>
  <c r="C83" i="1"/>
  <c r="A83" i="1"/>
  <c r="E82" i="1"/>
  <c r="C82" i="1"/>
  <c r="A82" i="1"/>
  <c r="E81" i="1"/>
  <c r="C81" i="1"/>
  <c r="A81" i="1"/>
  <c r="E80" i="1"/>
  <c r="C80" i="1"/>
  <c r="A80" i="1"/>
  <c r="E79" i="1"/>
  <c r="C79" i="1"/>
  <c r="A79" i="1"/>
  <c r="E78" i="1"/>
  <c r="C78" i="1"/>
  <c r="A78" i="1"/>
  <c r="E77" i="1"/>
  <c r="C77" i="1"/>
  <c r="A77" i="1"/>
  <c r="E76" i="1"/>
  <c r="C76" i="1"/>
  <c r="A76" i="1"/>
  <c r="E75" i="1"/>
  <c r="C75" i="1"/>
  <c r="A75" i="1"/>
  <c r="E74" i="1"/>
  <c r="C74" i="1"/>
  <c r="A74" i="1"/>
  <c r="E73" i="1"/>
  <c r="C73" i="1"/>
  <c r="A73" i="1"/>
  <c r="E72" i="1"/>
  <c r="C72" i="1"/>
  <c r="A72" i="1"/>
  <c r="E71" i="1"/>
  <c r="C71" i="1"/>
  <c r="A71" i="1"/>
  <c r="E70" i="1"/>
  <c r="C70" i="1"/>
  <c r="A70" i="1"/>
  <c r="E69" i="1"/>
  <c r="C69" i="1"/>
  <c r="A69" i="1"/>
  <c r="E68" i="1"/>
  <c r="C68" i="1"/>
  <c r="A68" i="1"/>
  <c r="E67" i="1"/>
  <c r="C67" i="1"/>
  <c r="A67" i="1"/>
  <c r="E66" i="1"/>
  <c r="C66" i="1"/>
  <c r="A66" i="1"/>
  <c r="E65" i="1"/>
  <c r="C65" i="1"/>
  <c r="A65" i="1"/>
  <c r="E64" i="1"/>
  <c r="C64" i="1"/>
  <c r="A64" i="1"/>
  <c r="E63" i="1"/>
  <c r="C63" i="1"/>
  <c r="A63" i="1"/>
  <c r="E62" i="1"/>
  <c r="C62" i="1"/>
  <c r="A62" i="1"/>
  <c r="E61" i="1"/>
  <c r="C61" i="1"/>
  <c r="A61" i="1"/>
  <c r="E60" i="1"/>
  <c r="C60" i="1"/>
  <c r="A60" i="1"/>
  <c r="E59" i="1"/>
  <c r="C59" i="1"/>
  <c r="A59" i="1"/>
  <c r="E58" i="1"/>
  <c r="C58" i="1"/>
  <c r="A58" i="1"/>
  <c r="E57" i="1"/>
  <c r="C57" i="1"/>
  <c r="A57" i="1"/>
  <c r="E56" i="1"/>
  <c r="C56" i="1"/>
  <c r="A56" i="1"/>
  <c r="E55" i="1"/>
  <c r="C55" i="1"/>
  <c r="A55" i="1"/>
  <c r="E54" i="1"/>
  <c r="C54" i="1"/>
  <c r="A54" i="1"/>
  <c r="E53" i="1"/>
  <c r="C53" i="1"/>
  <c r="A53" i="1"/>
  <c r="E52" i="1"/>
  <c r="C52" i="1"/>
  <c r="A52" i="1"/>
  <c r="E51" i="1"/>
  <c r="C51" i="1"/>
  <c r="A51" i="1"/>
  <c r="E50" i="1"/>
  <c r="C50" i="1"/>
  <c r="A50" i="1"/>
  <c r="E49" i="1"/>
  <c r="C49" i="1"/>
  <c r="A49" i="1"/>
  <c r="E48" i="1"/>
  <c r="C48" i="1"/>
  <c r="A48" i="1"/>
  <c r="E47" i="1"/>
  <c r="C47" i="1"/>
  <c r="A47" i="1"/>
  <c r="E46" i="1"/>
  <c r="C46" i="1"/>
  <c r="A46" i="1"/>
  <c r="E45" i="1"/>
  <c r="C45" i="1"/>
  <c r="A45" i="1"/>
  <c r="E44" i="1"/>
  <c r="C44" i="1"/>
  <c r="A44" i="1"/>
  <c r="E43" i="1"/>
  <c r="C43" i="1"/>
  <c r="A43" i="1"/>
  <c r="E42" i="1"/>
  <c r="C42" i="1"/>
  <c r="A42" i="1"/>
  <c r="E41" i="1"/>
  <c r="C41" i="1"/>
  <c r="A41" i="1"/>
  <c r="E40" i="1"/>
  <c r="C40" i="1"/>
  <c r="A40" i="1"/>
  <c r="E39" i="1"/>
  <c r="C39" i="1"/>
  <c r="A39" i="1"/>
  <c r="E38" i="1"/>
  <c r="C38" i="1"/>
  <c r="A38" i="1"/>
  <c r="E37" i="1"/>
  <c r="C37" i="1"/>
  <c r="A37" i="1"/>
  <c r="E36" i="1"/>
  <c r="C36" i="1"/>
  <c r="A36" i="1"/>
  <c r="E35" i="1"/>
  <c r="C35" i="1"/>
  <c r="A35" i="1"/>
  <c r="E34" i="1"/>
  <c r="C34" i="1"/>
  <c r="A34" i="1"/>
  <c r="E33" i="1"/>
  <c r="C33" i="1"/>
  <c r="A33" i="1"/>
  <c r="E32" i="1"/>
  <c r="C32" i="1"/>
  <c r="A32" i="1"/>
  <c r="E31" i="1"/>
  <c r="C31" i="1"/>
  <c r="A31" i="1"/>
  <c r="E30" i="1"/>
  <c r="C30" i="1"/>
  <c r="A30" i="1"/>
  <c r="E29" i="1"/>
  <c r="C29" i="1"/>
  <c r="A29" i="1"/>
  <c r="E28" i="1"/>
  <c r="C28" i="1"/>
  <c r="A28" i="1"/>
  <c r="E27" i="1"/>
  <c r="C27" i="1"/>
  <c r="A27" i="1"/>
  <c r="E26" i="1"/>
  <c r="C26" i="1"/>
  <c r="A26" i="1"/>
  <c r="E25" i="1"/>
  <c r="C25" i="1"/>
  <c r="A25" i="1"/>
  <c r="E24" i="1"/>
  <c r="C24" i="1"/>
  <c r="A24" i="1"/>
  <c r="E23" i="1"/>
  <c r="C23" i="1"/>
  <c r="A23" i="1"/>
  <c r="E22" i="1"/>
  <c r="C22" i="1"/>
  <c r="A22" i="1"/>
  <c r="E21" i="1"/>
  <c r="C21" i="1"/>
  <c r="A21" i="1"/>
  <c r="E20" i="1"/>
  <c r="C20" i="1"/>
  <c r="A20" i="1"/>
  <c r="E19" i="1"/>
  <c r="C19" i="1"/>
  <c r="A19" i="1"/>
  <c r="E18" i="1"/>
  <c r="C18" i="1"/>
  <c r="A18" i="1"/>
  <c r="E17" i="1"/>
  <c r="C17" i="1"/>
  <c r="A17" i="1"/>
  <c r="E16" i="1"/>
  <c r="C16" i="1"/>
  <c r="A16" i="1"/>
  <c r="E15" i="1"/>
  <c r="C15" i="1"/>
  <c r="A15" i="1"/>
  <c r="E14" i="1"/>
  <c r="C14" i="1"/>
  <c r="A14" i="1"/>
  <c r="E13" i="1"/>
  <c r="C13" i="1"/>
  <c r="A13" i="1"/>
  <c r="E12" i="1"/>
  <c r="C12" i="1"/>
  <c r="A12" i="1"/>
  <c r="E11" i="1"/>
  <c r="C11" i="1"/>
  <c r="A11" i="1"/>
  <c r="E10" i="1"/>
  <c r="C10" i="1"/>
  <c r="A10" i="1"/>
  <c r="E9" i="1"/>
  <c r="C9" i="1"/>
  <c r="A9" i="1"/>
  <c r="E8" i="1"/>
  <c r="C8" i="1"/>
  <c r="A8" i="1"/>
  <c r="E7" i="1"/>
  <c r="C7" i="1"/>
  <c r="A7" i="1"/>
  <c r="E6" i="1"/>
  <c r="C6" i="1"/>
  <c r="A6" i="1"/>
  <c r="E5" i="1"/>
  <c r="C5" i="1"/>
  <c r="A5" i="1"/>
  <c r="E4" i="1"/>
  <c r="C4" i="1"/>
  <c r="A4" i="1"/>
  <c r="E3" i="1"/>
  <c r="C3" i="1"/>
  <c r="A3" i="1"/>
  <c r="E2" i="1"/>
  <c r="C2" i="1"/>
  <c r="A2" i="1"/>
</calcChain>
</file>

<file path=xl/sharedStrings.xml><?xml version="1.0" encoding="utf-8"?>
<sst xmlns="http://schemas.openxmlformats.org/spreadsheetml/2006/main" count="6453" uniqueCount="317">
  <si>
    <t>18 10 01 00 29 00 00</t>
  </si>
  <si>
    <t>18 10 01 02 2B 00</t>
  </si>
  <si>
    <t>10 30 8C 10 DC 24 A8 17 60 1F 00 00 00 00</t>
  </si>
  <si>
    <t>18 10 01 02 2B 00 00 00 00 00 00 00 00 00 00 00 00 00 00 00</t>
  </si>
  <si>
    <t>10 30 8C 11 DD 14 A8 17 60 10 00 00 00 00</t>
  </si>
  <si>
    <t>31 10 02 01 44 00</t>
  </si>
  <si>
    <t>10 31 8C 10 DD 24 A8 17 60 20 00 00 00 00</t>
  </si>
  <si>
    <t>18 10 01 04 2D 00 00</t>
  </si>
  <si>
    <t>18 10 01 01 2A 00 00</t>
  </si>
  <si>
    <t>31 11 88 11 DB 00 10 00 00 EB 00 00</t>
  </si>
  <si>
    <t>18 10 87 89 38 00 00 00 00 38 00 00</t>
  </si>
  <si>
    <t>18 10 F0 31 49 51 FF FF FF 00 00 00 00 40 D7 00 00</t>
  </si>
  <si>
    <t>31 11 21 10 73 00 00</t>
  </si>
  <si>
    <t>31 10 20 00 61 00 00</t>
  </si>
  <si>
    <t>31 10 84 95 5A 10 00 00 00 6A 00 00 00 00 00 00 00 00 00 00 00 00 00 00 00</t>
  </si>
  <si>
    <t xml:space="preserve">31 10 01 12 54 00 </t>
  </si>
  <si>
    <t>10 31 00 20 61 00 00 00 00 00 00 00 00 00</t>
  </si>
  <si>
    <t>31 10 84 97 5C 10 00 00 00 6C 00 00 00 00 00 00 00 00 00 00 00 00 00 00 00</t>
  </si>
  <si>
    <t>31 10 01 13 55 00</t>
  </si>
  <si>
    <t>70 31 C0 00 61 00 00 00 00 00 40 F1 33 1A</t>
  </si>
  <si>
    <t>77 31 C0 20 88 00 00 00 00 00 40 F1 33 18</t>
  </si>
  <si>
    <t>10 31 95 30 06 00 00 00 06 0C 00 00 00 00</t>
  </si>
  <si>
    <t>10 31 97 01 D9 77 88 00 10 E8 00 00 00 00</t>
  </si>
  <si>
    <t>10 31 D5 A0 B6 77 F8 00 F1 00 00 00 00 1A</t>
  </si>
  <si>
    <t>70 31 90 00 31 40 F1 33 1A AF 00 00 00 00</t>
  </si>
  <si>
    <t>10 31 00 00 41 00 00 00 00 00 00 00 00 00</t>
  </si>
  <si>
    <t>70 31 90 00 31 40 F1 34 1A B0 00 00 00 00</t>
  </si>
  <si>
    <t>31 10 01 13 55 00 10 31 95 30 06 00 00 00 06 0C 00 00 00 00</t>
  </si>
  <si>
    <t>70 31 90 00 31 40 F1 35 1A B1 00 00 00 00</t>
  </si>
  <si>
    <t>70 31 90 00 31 40 F1 36 1A B2 00 00 00 00</t>
  </si>
  <si>
    <t>70 31 90 00 31 40 F1 37 1A B3 00 00 00 00</t>
  </si>
  <si>
    <t>70 31 90 00 31 40 F1 38 1A B4 00 00 00 00</t>
  </si>
  <si>
    <t>70 31 90 00 31 40 F1 39 1A B5 00 00 00 00</t>
  </si>
  <si>
    <t>70 31 90 00 31 40 F1 46 1A C2 00 00 00 00</t>
  </si>
  <si>
    <t>31 10 01 12 54 00</t>
  </si>
  <si>
    <t xml:space="preserve">10 31 00 00 41 00 00 00 00 00 00 00 00 00 </t>
  </si>
  <si>
    <t xml:space="preserve">31 10 01 13 55 00 </t>
  </si>
  <si>
    <t xml:space="preserve">10 31 95 30 06 00 00 00 06 0C 00 00 00 00 </t>
  </si>
  <si>
    <t xml:space="preserve">10 31 97 01 D9 69 88 00 20 EA 00 00 00 00 </t>
  </si>
  <si>
    <t xml:space="preserve">70 31 90 00 31 F1 F0 03 2A 3F 00 00 00 00 </t>
  </si>
  <si>
    <t xml:space="preserve">70 31 90 00 31 F1 F0 04 2A 40 00 00 00 00 </t>
  </si>
  <si>
    <t xml:space="preserve">70 31 90 00 31 F1 F0 05 2A 41 00 00 00 00 </t>
  </si>
  <si>
    <t xml:space="preserve">70 31 90 00 31 F1 F0 06 2A 42 00 00 00 00 </t>
  </si>
  <si>
    <t xml:space="preserve">31 11 B0 12 04 02 00 00 00 06 00 00 </t>
  </si>
  <si>
    <t xml:space="preserve">77 31 C0 20 88 00 00 00 00 00 F2 F0 00 28 </t>
  </si>
  <si>
    <t>70 31 90 00 31 F2 F0 00 2A 3D 00 00 00 00</t>
  </si>
  <si>
    <t>70 31 C0 00 61 00 00 00 00 00 F2 F0 00 2A</t>
  </si>
  <si>
    <t>10 31 D5 A0 B6 69 F8 00 F1 00 00 00 00 2A</t>
  </si>
  <si>
    <t>70 31 90 00 31 F2 F0 01 2A 3E 00 00 00 00</t>
  </si>
  <si>
    <t>70 31 90 00 31 F2 F0 02 2A 3F 00 00 00 00</t>
  </si>
  <si>
    <t>70 31 90 00 31 F2 F0 03 2A 40 00 00 00 00</t>
  </si>
  <si>
    <t>31 11 B0 12 04 03 00 00 00 07 00 00</t>
  </si>
  <si>
    <t>77 31 C0 20 88 00 00 00 00 00 F3 F0 00 28</t>
  </si>
  <si>
    <t>70 31 90 00 31 F3 F0 00 2A 3E 00 00 00 00</t>
  </si>
  <si>
    <t>70 31 C0 00 61 00 00 00 00 00 F3 F0 00 2A</t>
  </si>
  <si>
    <t>70 31 90 00 31 F3 F0 01 2A 3F 00 00 00 00</t>
  </si>
  <si>
    <t>70 31 90 00 31 F3 F0 02 2A 40 00 00 00 00</t>
  </si>
  <si>
    <t>31 11 B0 11 03 00 00 00 00 03 00 00</t>
  </si>
  <si>
    <t>77 31 C0 20 88 00 00 00 00 00 F3 F0 02 28</t>
  </si>
  <si>
    <t>70 31 C0 00 61 00 00 00 00 00 F1 F0 00 1A</t>
  </si>
  <si>
    <t>70 31 90 00 31 F1 F0 00 1A 2C 00 00 00 00</t>
  </si>
  <si>
    <t>70 31 90 00 31 F1 F0 01 1A 2D 00 00 00 00</t>
  </si>
  <si>
    <t>70 31 90 00 31 F1 F0 02 1A 2E 00 00 00 00</t>
  </si>
  <si>
    <t>70 31 90 00 31 F1 F0 03 1A 2F 00 00 00 00</t>
  </si>
  <si>
    <t>70 31 90 00 31 F1 F0 04 1A 30 00 00 00 00</t>
  </si>
  <si>
    <t>31 11 B0 12 04 00 00 00 00 04 00 00</t>
  </si>
  <si>
    <t>77 31 C0 20 88 00 00 00 00 00 F1 F0 04 18</t>
  </si>
  <si>
    <t>70 31 C0 00 61 00 00 00 00 00 F1 F0 00 2A</t>
  </si>
  <si>
    <t>70 31 90 00 31 F1 F0 00 2A 3C 00 00 00 00</t>
  </si>
  <si>
    <t>70 31 90 00 31 F1 F0 01 2A 3D 00 00 00 00</t>
  </si>
  <si>
    <t>70 31 90 00 31 F1 F0 02 2A 3E 00 00 00 00</t>
  </si>
  <si>
    <t>31 11 24 01 67 00 00</t>
  </si>
  <si>
    <t>77 31 C0 34 9C 00 00 00 00 00 F1 F0 03 28</t>
  </si>
  <si>
    <t>10 31 00 34 75 00 00 00 00 00 00 00 00 00</t>
  </si>
  <si>
    <t>70 31 90 00 31 F1 F0 03 28 3D 00 00 00 00</t>
  </si>
  <si>
    <t>70 31 90 00 31 F1 F0 15 28 4F 00 00 00 00</t>
  </si>
  <si>
    <t>70 31 90 00 31 F1 F0 24 28 5E 00 00 00 00</t>
  </si>
  <si>
    <t>70 31 90 00 31 F1 F0 36 28 70 00 00 00 00</t>
  </si>
  <si>
    <t>70 31 90 00 31 F1 F0 45 28 7F 00 00 00 00</t>
  </si>
  <si>
    <t>70 31 90 00 31 F1 F0 57 28 91 00 00 00 00</t>
  </si>
  <si>
    <t>31 11 21 10 73 00 00 18 11 08 00 31 00 00</t>
  </si>
  <si>
    <t>70 31 90 00 31 F1 F0 59 2A 95 00 00 00 00</t>
  </si>
  <si>
    <t>70 31 90 00 31 F1 F1 00 2A 3D 00 00 00 00</t>
  </si>
  <si>
    <t>70 31 90 00 31 F1 F1 01 2A 3E 00 00 00 00</t>
  </si>
  <si>
    <t>77 31 C0 34 9C 00 00 00 00 00 F2 F0 02 28</t>
  </si>
  <si>
    <t>70 31 90 00 31 F2 F0 07 28 42 00 00 00 00</t>
  </si>
  <si>
    <t>70 31 90 00 31 F2 F0 16 28 51 00 00 00 00</t>
  </si>
  <si>
    <t>70 31 90 00 31 F2 F0 26 28 61 00 00 00 00</t>
  </si>
  <si>
    <t>70 31 90 00 31 F2 F0 35 2A 72 00 00 00 00</t>
  </si>
  <si>
    <t>70 31 90 00 31 F2 F0 36 2A 73 00 00 00 00</t>
  </si>
  <si>
    <t>70 31 90 00 31 F2 F0 37 2A 74 00 00 00 00</t>
  </si>
  <si>
    <t>70 31 90 00 31 F2 F0 38 2A 75 00 00 00 00</t>
  </si>
  <si>
    <t>70 31 90 00 31 F2 F0 39 2A 76 00 00 00 00</t>
  </si>
  <si>
    <t>70 31 90 00 31 F2 F0 40 2A 7D 00 00 00 00</t>
  </si>
  <si>
    <t>70 31 90 00 31 F2 F0 41 2A 7E 00 00 00 00</t>
  </si>
  <si>
    <t>70 31 90 00 31 F2 F0 42 2A 7F 00 00 00 00</t>
  </si>
  <si>
    <t>70 31 90 00 31 F2 F0 44 2A 81 00 00 00 00</t>
  </si>
  <si>
    <t>70 31 90 00 31 F2 F0 45 2A 82 00 00 00 00</t>
  </si>
  <si>
    <t>70 31 90 00 31 F2 F0 46 2A 83 00 00 00 00</t>
  </si>
  <si>
    <t>70 31 90 00 31 F2 F0 47 2A 84 00 00 00 00</t>
  </si>
  <si>
    <t>70 31 90 00 31 F2 F0 48 2A 85 00 00 00 00</t>
  </si>
  <si>
    <t>70 31 90 00 31 43 F1 41 1A BF 00 00 00 00</t>
  </si>
  <si>
    <t>70 31 90 00 31 44 F1 41 1A C0 00 00 00 00</t>
  </si>
  <si>
    <t>70 31 90 00 31 45 F1 41 1A C1 00 00 00 00</t>
  </si>
  <si>
    <t>70 31 90 00 31 40 F1 40 1A BC 00 00 00 00</t>
  </si>
  <si>
    <t>70 31 90 00 31 41 F1 40 1A BD 00 00 00 00</t>
  </si>
  <si>
    <t>70 31 90 00 31 42 F1 41 1A BE 00 00 00 00</t>
  </si>
  <si>
    <t>DATA CAPTURED FROM  XCARLINK CD EMULATOR</t>
  </si>
  <si>
    <t>Parsing done using VBA macro - must enable macros for it to work!</t>
  </si>
  <si>
    <t>&gt;&gt;</t>
  </si>
  <si>
    <t xml:space="preserve">18 10 01 00 29 </t>
  </si>
  <si>
    <t xml:space="preserve">18 10 01 02 2B </t>
  </si>
  <si>
    <t xml:space="preserve">10 30 8C 11 DD 14 A8 17 60 10 </t>
  </si>
  <si>
    <t xml:space="preserve">31 10 02 01 44 </t>
  </si>
  <si>
    <t xml:space="preserve">10 31 8C 11 DE 14 A8 17 60 11 </t>
  </si>
  <si>
    <t xml:space="preserve">18 10 01 04 2D </t>
  </si>
  <si>
    <t xml:space="preserve">18 10 01 01 2A </t>
  </si>
  <si>
    <t xml:space="preserve">31 11 88 11 DB 00 10 00 00 EB </t>
  </si>
  <si>
    <t xml:space="preserve">18 10 87 89 38 00 00 00 00 38 </t>
  </si>
  <si>
    <t xml:space="preserve">18 10 F0 31 49 51 FF FF FF 00 </t>
  </si>
  <si>
    <t xml:space="preserve">31 11 21 10 73 </t>
  </si>
  <si>
    <t xml:space="preserve">31 10 20 00 61 </t>
  </si>
  <si>
    <t xml:space="preserve">31 10 01 13 55 </t>
  </si>
  <si>
    <t xml:space="preserve">90 31 9C 00 5D 00 00 00 18 75 </t>
  </si>
  <si>
    <t xml:space="preserve">10 31 00 20 61 </t>
  </si>
  <si>
    <t xml:space="preserve">31 10 84 95 5A 10 00 00 00 6A </t>
  </si>
  <si>
    <t xml:space="preserve">31 10 01 12 54 </t>
  </si>
  <si>
    <t xml:space="preserve">31 10 84 97 5C 10 00 00 00 6C </t>
  </si>
  <si>
    <t xml:space="preserve">10 31 95 30 06 00 00 00 06 0C </t>
  </si>
  <si>
    <t xml:space="preserve">10 31 97 01 D9 20 46 46 10 95 </t>
  </si>
  <si>
    <t xml:space="preserve">18 10 87 00 AF 00 00 00 00 AF </t>
  </si>
  <si>
    <t xml:space="preserve">18 11 08 00 31 </t>
  </si>
  <si>
    <t xml:space="preserve">10 31 00 80 C1 </t>
  </si>
  <si>
    <t xml:space="preserve">31 10 84 97 5C </t>
  </si>
  <si>
    <t xml:space="preserve">31 10 84 95 5A </t>
  </si>
  <si>
    <t xml:space="preserve">31 10 01 13 55 00 00 00 06 0C </t>
  </si>
  <si>
    <t xml:space="preserve">31 10 01 13 55 00 00 00 00 6C </t>
  </si>
  <si>
    <t xml:space="preserve">18 10 F0 31 49 51 FF FF FF 00 00 00 00 40 D7 </t>
  </si>
  <si>
    <t xml:space="preserve">77 31 94 20 5C 00 00 00 00 5C </t>
  </si>
  <si>
    <t xml:space="preserve">70 31 94 20 55 00 00 00 00 55 </t>
  </si>
  <si>
    <t xml:space="preserve">10 31 97 01 D9 20 79 46 10 C8 </t>
  </si>
  <si>
    <t xml:space="preserve">10 31 00 00 41 </t>
  </si>
  <si>
    <t xml:space="preserve">70 31 90 00 31 F2 F3 23 18 51 </t>
  </si>
  <si>
    <t xml:space="preserve">70 31 90 00 31 F2 F3 24 18 52 </t>
  </si>
  <si>
    <t xml:space="preserve">70 31 90 00 31 F2 F3 25 1A 55 </t>
  </si>
  <si>
    <t xml:space="preserve">10 31 95 30 06 </t>
  </si>
  <si>
    <t xml:space="preserve">70 31 90 00 31 F2 F3 26 1A 56 </t>
  </si>
  <si>
    <t xml:space="preserve">70 31 90 00 31 F2 F3 27 1A 57 </t>
  </si>
  <si>
    <t>00</t>
  </si>
  <si>
    <t xml:space="preserve">31 11 B0 12 04 00 00 00 00 04 </t>
  </si>
  <si>
    <t xml:space="preserve">90 31 9C 00 5D 00 00 00 28 85 </t>
  </si>
  <si>
    <t xml:space="preserve">10 31 00 40 81 </t>
  </si>
  <si>
    <t xml:space="preserve">10 31 97 01 D9 10 13 46 20 62 </t>
  </si>
  <si>
    <t xml:space="preserve">31 10 01 13 55 00 00 00 28 85 </t>
  </si>
  <si>
    <t xml:space="preserve">10 31 97 01 D9 10 50 13 20 6C </t>
  </si>
  <si>
    <t xml:space="preserve">70 31 90 00 31 F1 F0 01 28 3B </t>
  </si>
  <si>
    <t xml:space="preserve">31 11 B0 13 05 00 00 00 00 05 </t>
  </si>
  <si>
    <t xml:space="preserve">10 31 97 01 D9 99 00 00 30 A2 </t>
  </si>
  <si>
    <t xml:space="preserve">70 31 8E 40 6F 20 00 00 30 BF </t>
  </si>
  <si>
    <t xml:space="preserve">10 31 98 10 E9 00 00 01 30 1A </t>
  </si>
  <si>
    <t xml:space="preserve">77 31 94 40 7C 00 00 00 00 7C </t>
  </si>
  <si>
    <t xml:space="preserve">10 31 97 01 D9 20 46 00 10 4F </t>
  </si>
  <si>
    <t xml:space="preserve">70 31 90 00 31 F1 F0 01 18 2B </t>
  </si>
  <si>
    <t xml:space="preserve">70 31 90 00 31 F1 F0 03 1A 2F </t>
  </si>
  <si>
    <t xml:space="preserve">70 31 90 00 31 F1 F0 04 1A 30 </t>
  </si>
  <si>
    <t xml:space="preserve">31 10 01 12 54 00 00 00 00 6A </t>
  </si>
  <si>
    <t xml:space="preserve">70 31 95 00 36 00 00 00 06 3C </t>
  </si>
  <si>
    <t xml:space="preserve">70 31 8E C0 EF 00 00 00 16 05 </t>
  </si>
  <si>
    <t xml:space="preserve">70 31 94 C0 F5 00 00 00 00 F5 </t>
  </si>
  <si>
    <t xml:space="preserve">10 31 00 C0 01 </t>
  </si>
  <si>
    <t xml:space="preserve">10 31 95 00 D6 00 00 00 06 DC </t>
  </si>
  <si>
    <t xml:space="preserve">70 31 94 40 75 00 00 00 00 75 </t>
  </si>
  <si>
    <t xml:space="preserve">10 31 97 01 D9 </t>
  </si>
  <si>
    <t xml:space="preserve">77 31 8E 80 B6 90 00 00 16 5C </t>
  </si>
  <si>
    <t xml:space="preserve">70 31 95 10 46 00 00 00 06 4C </t>
  </si>
  <si>
    <t xml:space="preserve">10 31 95 10 E6 00 00 00 06 EC </t>
  </si>
  <si>
    <t xml:space="preserve">10 31 97 01 D9 20 79 46 20 D8 </t>
  </si>
  <si>
    <t xml:space="preserve">10 31 95 10 E6 </t>
  </si>
  <si>
    <t xml:space="preserve">70 31 95 30 66 00 00 00 06 6C </t>
  </si>
  <si>
    <t xml:space="preserve">10 31 97 01 D9 10 50 13 30 7C </t>
  </si>
  <si>
    <t xml:space="preserve">10 31 97 01 D9 10 50 13 40 8C </t>
  </si>
  <si>
    <t xml:space="preserve">10 31 97 01 D9 10 50 13 50 9C </t>
  </si>
  <si>
    <t xml:space="preserve">10 31 97 01 D9 10 50 13 60 AC </t>
  </si>
  <si>
    <t xml:space="preserve">10 31 97 01 D9 10 50 13 10 5C </t>
  </si>
  <si>
    <t>&lt;&lt;-- Write CMD1 to highlight</t>
  </si>
  <si>
    <t>Src</t>
  </si>
  <si>
    <t>Dst</t>
  </si>
  <si>
    <t>70 31 8E 40 6F 20 00 00 40 CF 00</t>
  </si>
  <si>
    <t>B0</t>
  </si>
  <si>
    <t>18 10 01 00 29 00</t>
  </si>
  <si>
    <t>10 30 8C 11 DD 14 A8 17 60 10 00</t>
  </si>
  <si>
    <t>10 31 8C 11 DE 14 A8 17 60 11 00</t>
  </si>
  <si>
    <t>18 10 01 04 2D 00</t>
  </si>
  <si>
    <t>18 10 01 01 2A 00</t>
  </si>
  <si>
    <t>31 11 88 11 DB 00 10 00 00 EB 00</t>
  </si>
  <si>
    <t>18 10 F0 31 49 51 FF FF FF 00 00 00 00 40 D7 00</t>
  </si>
  <si>
    <t>31 11 21 10 73 00</t>
  </si>
  <si>
    <t>31 10 20 00 61 00</t>
  </si>
  <si>
    <t>31 10 84 95 5A 10 00 00 00 6A 00</t>
  </si>
  <si>
    <t>10 31 00 40 81 00</t>
  </si>
  <si>
    <t>31 10 84 97 5C 10 00 00 00 6C 00</t>
  </si>
  <si>
    <t>10 31 95 00 D6 00 00 00 06 DC 00</t>
  </si>
  <si>
    <t>90 31 9C 00 5D 00 00 00 10 6D 00</t>
  </si>
  <si>
    <t>10 31 97 01 D9 99 00 00 10 82 00</t>
  </si>
  <si>
    <t>10 31 00 20 61 00</t>
  </si>
  <si>
    <t>18 11 08 00 31 00</t>
  </si>
  <si>
    <t>10 31 00 80 C1 00</t>
  </si>
  <si>
    <t>10 31 97 01 D9 16 79 36 10 AE 00</t>
  </si>
  <si>
    <t>77 31 95 10 4D 00 00 00 06 53 00</t>
  </si>
  <si>
    <t>10 31 95 10 E6 00 00 00 06 EC 00</t>
  </si>
  <si>
    <t>10 31 97 01 D9 16 79 36 20 BE 00</t>
  </si>
  <si>
    <t>10 31 97 01 D9 15 63 56 20 C7 00</t>
  </si>
  <si>
    <t>10 31 95 30 06 00 00 00 06 0C 00</t>
  </si>
  <si>
    <t>10 31 97 01 D9 15 63 56 30 D7 00</t>
  </si>
  <si>
    <t>10 31 97 01 D9 16 76 45 30 DA 00</t>
  </si>
  <si>
    <t>70 31 95 70 A6 00 00 00 06 AC 00</t>
  </si>
  <si>
    <t>10 31 95 70 46 00 00 00 06 4C 00</t>
  </si>
  <si>
    <t>10 31 97 01 D9 16 76 45 40 EA 00</t>
  </si>
  <si>
    <t>10 31 97 01 D9 16 76 45 50 FA 00</t>
  </si>
  <si>
    <t>10 31 97 01 D9 16 76 45 60 0A 00</t>
  </si>
  <si>
    <t>10 31 97 01 D9 16 76 45 10 BA 00</t>
  </si>
  <si>
    <t>18 10 87 89 38 00 00 00 00 38 00</t>
  </si>
  <si>
    <t>90 31 9C 00 5D 00 00 00 18 75 00</t>
  </si>
  <si>
    <t>10 31 97 01 D9 16 36 45 10 7A 00</t>
  </si>
  <si>
    <t>77 31 94 20 5C 00 00 00 00 5C 00</t>
  </si>
  <si>
    <t>70 31 94 20 55 00 00 00 00 55 00</t>
  </si>
  <si>
    <t>10 31 00 00 41 00</t>
  </si>
  <si>
    <t>70 31 90 00 31 F1 F0 03 1A 2F 00</t>
  </si>
  <si>
    <t>70 31 90 00 31 F1 F0 04 1A 30 00</t>
  </si>
  <si>
    <t>70 31 90 00 31 F1 F0 05 1A 31 00</t>
  </si>
  <si>
    <t>70 31 90 00 31 F1 F0 06 1A 32 00</t>
  </si>
  <si>
    <t>70 31 90 00 31 F1 F0 07 1A 33 00</t>
  </si>
  <si>
    <t>10 31 97 01 D9 99 00 00 40 B2 00</t>
  </si>
  <si>
    <t>31 11 B0 14 06 00 00 00 00 06 00</t>
  </si>
  <si>
    <t>10 31 98 10 E9 00 00 01 40 2A 00</t>
  </si>
  <si>
    <t>10 31 97 01 D9 16 36 00 10 35 00</t>
  </si>
  <si>
    <t>77 31 94 40 7C 00 00 00 00 7C 00</t>
  </si>
  <si>
    <t>70 31 90 00 31 F1 F0 01 18 2B 00</t>
  </si>
  <si>
    <t>31 11 B0 15 07 00 00 00 00 07 00</t>
  </si>
  <si>
    <t>10 31 97 01 D9 99 00 00 50 C2 00</t>
  </si>
  <si>
    <t>10 31 98 10 E9 00 00 01 50 3A 00</t>
  </si>
  <si>
    <t>70 31 90 08 39 F1 F0 01 18 33 00</t>
  </si>
  <si>
    <t>01</t>
  </si>
  <si>
    <t>cmd_busReset</t>
  </si>
  <si>
    <t>cmd_pwroff</t>
  </si>
  <si>
    <t>cmd_status</t>
  </si>
  <si>
    <t>cmd_busRequest</t>
  </si>
  <si>
    <t>cmd_anyone</t>
  </si>
  <si>
    <t>cmd_cfgfrommaster</t>
  </si>
  <si>
    <t>cmd_anyoneSpecial</t>
  </si>
  <si>
    <t>cmd_appointEnd</t>
  </si>
  <si>
    <t>cmd_keyoff</t>
  </si>
  <si>
    <t>cmd_timePollEnd</t>
  </si>
  <si>
    <t>cmd_timePoll</t>
  </si>
  <si>
    <t>cmd_slavePoll</t>
  </si>
  <si>
    <t>cmd_play</t>
  </si>
  <si>
    <t>cmd_switch</t>
  </si>
  <si>
    <t>cmd_fastFwd</t>
  </si>
  <si>
    <t>cmd_fastRwd</t>
  </si>
  <si>
    <t>cmd_nextTrack</t>
  </si>
  <si>
    <t>cmd_prevTrack</t>
  </si>
  <si>
    <t>cmd_nextCD</t>
  </si>
  <si>
    <t>cmd_prevCD</t>
  </si>
  <si>
    <t>cmd_repeat</t>
  </si>
  <si>
    <t>cmd_shuffle</t>
  </si>
  <si>
    <t>cmd_intro</t>
  </si>
  <si>
    <t>cmd_textRequest</t>
  </si>
  <si>
    <t>cmd_power</t>
  </si>
  <si>
    <t>cmd_pwron</t>
  </si>
  <si>
    <t>cmd_anyoneResp</t>
  </si>
  <si>
    <t>8C</t>
  </si>
  <si>
    <t>cmd_cartridgeinfo</t>
  </si>
  <si>
    <t>8e</t>
  </si>
  <si>
    <t>cmd_time</t>
  </si>
  <si>
    <t>cmd_cfgchange</t>
  </si>
  <si>
    <t>cmd_magazine</t>
  </si>
  <si>
    <t>cmd_intro_end</t>
  </si>
  <si>
    <t>cmd_dspdiscchange</t>
  </si>
  <si>
    <t>9c</t>
  </si>
  <si>
    <t>cmd_discinfo</t>
  </si>
  <si>
    <t>cmd_goto</t>
  </si>
  <si>
    <t>cmd_seek</t>
  </si>
  <si>
    <t>C0</t>
  </si>
  <si>
    <t>cmd_discname</t>
  </si>
  <si>
    <t>CD</t>
  </si>
  <si>
    <t>cmd_source</t>
  </si>
  <si>
    <t>F0</t>
  </si>
  <si>
    <t>02</t>
  </si>
  <si>
    <t>03</t>
  </si>
  <si>
    <t>04</t>
  </si>
  <si>
    <t>08</t>
  </si>
  <si>
    <t>11</t>
  </si>
  <si>
    <t>12</t>
  </si>
  <si>
    <t>13</t>
  </si>
  <si>
    <t>20</t>
  </si>
  <si>
    <t>21</t>
  </si>
  <si>
    <t>24</t>
  </si>
  <si>
    <t>25</t>
  </si>
  <si>
    <t>26</t>
  </si>
  <si>
    <t>27</t>
  </si>
  <si>
    <t>28</t>
  </si>
  <si>
    <t>29</t>
  </si>
  <si>
    <t>34</t>
  </si>
  <si>
    <t>35</t>
  </si>
  <si>
    <t>36</t>
  </si>
  <si>
    <t>84</t>
  </si>
  <si>
    <t>87</t>
  </si>
  <si>
    <t>89</t>
  </si>
  <si>
    <t>90</t>
  </si>
  <si>
    <t>94</t>
  </si>
  <si>
    <t>95</t>
  </si>
  <si>
    <t>98</t>
  </si>
  <si>
    <t>97</t>
  </si>
  <si>
    <t>Value</t>
  </si>
  <si>
    <t>CMD1 table</t>
  </si>
  <si>
    <t>DATA CAPTURED FROM  ORIGINAL CD BECKER 2260AR CHANGER</t>
  </si>
  <si>
    <t>8E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</si>
</sst>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0" xfId="0" applyFill="1"/>
    <xf numFmtId="0" fontId="0" fillId="0" borderId="1" xfId="0" applyBorder="1"/>
    <xf numFmtId="0" fontId="0" fillId="0" borderId="2" xfId="0" applyBorder="1"/>
    <xf numFmtId="0" fontId="0" fillId="2" borderId="0" xfId="0" applyFill="1"/>
    <xf numFmtId="0" fontId="0" fillId="0" borderId="0" xfId="0" applyAlignment="1">
      <alignment horizontal="center" vertical="center"/>
    </xf>
    <xf numFmtId="0" fontId="1" fillId="0" borderId="0" xfId="0" applyFont="1"/>
    <xf numFmtId="0" fontId="0" fillId="0" borderId="0" xfId="0" applyAlignment="1">
      <alignment horizontal="center"/>
    </xf>
    <xf numFmtId="0" fontId="2" fillId="0" borderId="0" xfId="0" quotePrefix="1" applyFont="1" applyAlignment="1">
      <alignment horizontal="center"/>
    </xf>
    <xf numFmtId="0" fontId="0" fillId="0" borderId="0" xfId="0" applyFill="1" applyAlignment="1">
      <alignment horizontal="left" vertical="center"/>
    </xf>
    <xf numFmtId="0" fontId="0" fillId="4" borderId="0" xfId="0" applyFill="1"/>
    <xf numFmtId="49" fontId="0" fillId="3" borderId="0" xfId="0" applyNumberFormat="1" applyFill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49" fontId="0" fillId="3" borderId="7" xfId="0" applyNumberFormat="1" applyFill="1" applyBorder="1" applyAlignment="1">
      <alignment horizontal="center" vertical="center"/>
    </xf>
    <xf numFmtId="49" fontId="0" fillId="3" borderId="8" xfId="0" applyNumberFormat="1" applyFill="1" applyBorder="1" applyAlignment="1">
      <alignment horizontal="center" vertical="center"/>
    </xf>
    <xf numFmtId="49" fontId="0" fillId="3" borderId="4" xfId="0" applyNumberFormat="1" applyFill="1" applyBorder="1" applyAlignment="1">
      <alignment horizontal="left" vertical="center" indent="1"/>
    </xf>
    <xf numFmtId="49" fontId="0" fillId="3" borderId="5" xfId="0" applyNumberFormat="1" applyFill="1" applyBorder="1" applyAlignment="1">
      <alignment horizontal="left" vertical="center" indent="1"/>
    </xf>
    <xf numFmtId="0" fontId="0" fillId="6" borderId="0" xfId="0" applyFill="1"/>
    <xf numFmtId="0" fontId="2" fillId="6" borderId="0" xfId="0" applyFont="1" applyFill="1"/>
  </cellXfs>
  <cellStyles count="1">
    <cellStyle name="Normal" xfId="0" builtinId="0"/>
  </cellStyles>
  <dxfs count="199"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theme="5" tint="0.39994506668294322"/>
        </patternFill>
      </fill>
    </dxf>
  </dxfs>
  <tableStyles count="0" defaultTableStyle="TableStyleMedium2" defaultPivotStyle="PivotStyleLight16"/>
  <colors>
    <mruColors>
      <color rgb="FF547BC8"/>
      <color rgb="FFAC75D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9525</xdr:rowOff>
        </xdr:from>
        <xdr:to>
          <xdr:col>5</xdr:col>
          <xdr:colOff>752475</xdr:colOff>
          <xdr:row>2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9525</xdr:rowOff>
        </xdr:from>
        <xdr:to>
          <xdr:col>5</xdr:col>
          <xdr:colOff>752475</xdr:colOff>
          <xdr:row>2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9525</xdr:rowOff>
        </xdr:from>
        <xdr:to>
          <xdr:col>5</xdr:col>
          <xdr:colOff>752475</xdr:colOff>
          <xdr:row>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9525</xdr:rowOff>
        </xdr:from>
        <xdr:to>
          <xdr:col>5</xdr:col>
          <xdr:colOff>752475</xdr:colOff>
          <xdr:row>2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9525</xdr:rowOff>
        </xdr:from>
        <xdr:to>
          <xdr:col>5</xdr:col>
          <xdr:colOff>752475</xdr:colOff>
          <xdr:row>2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9525</xdr:rowOff>
        </xdr:from>
        <xdr:to>
          <xdr:col>5</xdr:col>
          <xdr:colOff>752475</xdr:colOff>
          <xdr:row>2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9525</xdr:rowOff>
        </xdr:from>
        <xdr:to>
          <xdr:col>5</xdr:col>
          <xdr:colOff>752475</xdr:colOff>
          <xdr:row>2</xdr:row>
          <xdr:rowOff>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9525</xdr:rowOff>
        </xdr:from>
        <xdr:to>
          <xdr:col>5</xdr:col>
          <xdr:colOff>752475</xdr:colOff>
          <xdr:row>2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9525</xdr:rowOff>
        </xdr:from>
        <xdr:to>
          <xdr:col>5</xdr:col>
          <xdr:colOff>752475</xdr:colOff>
          <xdr:row>2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L586"/>
  <sheetViews>
    <sheetView workbookViewId="0"/>
  </sheetViews>
  <sheetFormatPr baseColWidth="10" defaultRowHeight="15" x14ac:dyDescent="0.25"/>
  <cols>
    <col min="1" max="1" width="80.7109375" customWidth="1"/>
    <col min="2" max="2" width="38.7109375" customWidth="1"/>
    <col min="3" max="5" width="3.7109375" customWidth="1"/>
    <col min="7" max="7" width="20.7109375" customWidth="1"/>
    <col min="8" max="8" width="6.7109375" customWidth="1"/>
  </cols>
  <sheetData>
    <row r="1" spans="1:12" x14ac:dyDescent="0.25">
      <c r="A1" s="11"/>
      <c r="B1" s="10" t="s">
        <v>184</v>
      </c>
      <c r="C1" t="s">
        <v>185</v>
      </c>
      <c r="E1" t="s">
        <v>186</v>
      </c>
      <c r="G1" s="19" t="s">
        <v>107</v>
      </c>
      <c r="H1" s="19"/>
      <c r="I1" s="19"/>
      <c r="J1" s="18"/>
      <c r="K1" s="18"/>
      <c r="L1" s="18"/>
    </row>
    <row r="2" spans="1:12" x14ac:dyDescent="0.25">
      <c r="A2" s="9" t="str">
        <f>ParseUnilink(B2)</f>
        <v>01 MASTER REQUEST - BUS RESET</v>
      </c>
      <c r="B2" t="s">
        <v>0</v>
      </c>
      <c r="C2" s="7" t="str">
        <f t="shared" ref="C2" si="0">MID(B2,4,2)</f>
        <v>10</v>
      </c>
      <c r="D2" s="8" t="s">
        <v>109</v>
      </c>
      <c r="E2" s="7" t="str">
        <f t="shared" ref="E2" si="1">MID(B2,1,2)</f>
        <v>18</v>
      </c>
      <c r="G2" s="19" t="s">
        <v>108</v>
      </c>
      <c r="H2" s="18"/>
      <c r="I2" s="18"/>
      <c r="J2" s="18"/>
      <c r="K2" s="18"/>
      <c r="L2" s="18"/>
    </row>
    <row r="3" spans="1:12" x14ac:dyDescent="0.25">
      <c r="A3" s="9" t="str">
        <f t="shared" ref="A3:A66" si="2">ParseUnilink(B3)</f>
        <v>01 MASTER REQUEST - ANYONE?</v>
      </c>
      <c r="B3" t="s">
        <v>1</v>
      </c>
      <c r="C3" s="7" t="str">
        <f t="shared" ref="C3:C66" si="3">MID(B3,4,2)</f>
        <v>10</v>
      </c>
      <c r="D3" s="8" t="s">
        <v>109</v>
      </c>
      <c r="E3" s="7" t="str">
        <f t="shared" ref="E3:E66" si="4">MID(B3,1,2)</f>
        <v>18</v>
      </c>
    </row>
    <row r="4" spans="1:12" ht="15.75" thickBot="1" x14ac:dyDescent="0.3">
      <c r="A4" s="9" t="str">
        <f t="shared" si="2"/>
        <v>8C DEVICE INFO</v>
      </c>
      <c r="B4" t="s">
        <v>2</v>
      </c>
      <c r="C4" s="7" t="str">
        <f t="shared" si="3"/>
        <v>30</v>
      </c>
      <c r="D4" s="8" t="s">
        <v>109</v>
      </c>
      <c r="E4" s="7" t="str">
        <f t="shared" si="4"/>
        <v>10</v>
      </c>
    </row>
    <row r="5" spans="1:12" ht="15.75" thickBot="1" x14ac:dyDescent="0.3">
      <c r="A5" s="9" t="str">
        <f t="shared" si="2"/>
        <v>01 MASTER REQUEST - ANYONE?</v>
      </c>
      <c r="B5" t="s">
        <v>3</v>
      </c>
      <c r="C5" s="7" t="str">
        <f t="shared" si="3"/>
        <v>10</v>
      </c>
      <c r="D5" s="8" t="s">
        <v>109</v>
      </c>
      <c r="E5" s="7" t="str">
        <f t="shared" si="4"/>
        <v>18</v>
      </c>
      <c r="G5" s="12" t="s">
        <v>314</v>
      </c>
      <c r="H5" s="13" t="s">
        <v>313</v>
      </c>
    </row>
    <row r="6" spans="1:12" x14ac:dyDescent="0.25">
      <c r="A6" s="9" t="str">
        <f t="shared" si="2"/>
        <v>01 MASTER REQUEST - ANYONE?</v>
      </c>
      <c r="B6" t="s">
        <v>3</v>
      </c>
      <c r="C6" s="7" t="str">
        <f t="shared" si="3"/>
        <v>10</v>
      </c>
      <c r="D6" s="8" t="s">
        <v>109</v>
      </c>
      <c r="E6" s="7" t="str">
        <f t="shared" si="4"/>
        <v>18</v>
      </c>
      <c r="G6" s="16" t="s">
        <v>243</v>
      </c>
      <c r="H6" s="14" t="s">
        <v>148</v>
      </c>
    </row>
    <row r="7" spans="1:12" x14ac:dyDescent="0.25">
      <c r="A7" s="9" t="str">
        <f t="shared" si="2"/>
        <v>01 MASTER REQUEST - BUS RESET</v>
      </c>
      <c r="B7" t="s">
        <v>0</v>
      </c>
      <c r="C7" s="7" t="str">
        <f t="shared" si="3"/>
        <v>10</v>
      </c>
      <c r="D7" s="8" t="s">
        <v>109</v>
      </c>
      <c r="E7" s="7" t="str">
        <f t="shared" si="4"/>
        <v>18</v>
      </c>
      <c r="G7" s="16" t="s">
        <v>244</v>
      </c>
      <c r="H7" s="14" t="s">
        <v>148</v>
      </c>
    </row>
    <row r="8" spans="1:12" x14ac:dyDescent="0.25">
      <c r="A8" s="9" t="str">
        <f t="shared" si="2"/>
        <v>01 MASTER REQUEST - ANYONE?</v>
      </c>
      <c r="B8" t="s">
        <v>1</v>
      </c>
      <c r="C8" s="7" t="str">
        <f t="shared" si="3"/>
        <v>10</v>
      </c>
      <c r="D8" s="8" t="s">
        <v>109</v>
      </c>
      <c r="E8" s="7" t="str">
        <f t="shared" si="4"/>
        <v>18</v>
      </c>
      <c r="G8" s="16" t="s">
        <v>245</v>
      </c>
      <c r="H8" s="14" t="s">
        <v>148</v>
      </c>
    </row>
    <row r="9" spans="1:12" x14ac:dyDescent="0.25">
      <c r="A9" s="9" t="str">
        <f t="shared" si="2"/>
        <v>8C DEVICE INFO</v>
      </c>
      <c r="B9" t="s">
        <v>4</v>
      </c>
      <c r="C9" s="7" t="str">
        <f t="shared" si="3"/>
        <v>30</v>
      </c>
      <c r="D9" s="8" t="s">
        <v>109</v>
      </c>
      <c r="E9" s="7" t="str">
        <f t="shared" si="4"/>
        <v>10</v>
      </c>
      <c r="G9" s="16" t="s">
        <v>246</v>
      </c>
      <c r="H9" s="14" t="s">
        <v>242</v>
      </c>
    </row>
    <row r="10" spans="1:12" x14ac:dyDescent="0.25">
      <c r="A10" s="9" t="str">
        <f t="shared" si="2"/>
        <v>02 CONFIG FROM MASTER - TELL SLAVE ABOUT ASSIGNED ID</v>
      </c>
      <c r="B10" t="s">
        <v>5</v>
      </c>
      <c r="C10" s="7" t="str">
        <f t="shared" si="3"/>
        <v>10</v>
      </c>
      <c r="D10" s="8" t="s">
        <v>109</v>
      </c>
      <c r="E10" s="7" t="str">
        <f t="shared" si="4"/>
        <v>31</v>
      </c>
      <c r="G10" s="16" t="s">
        <v>247</v>
      </c>
      <c r="H10" s="14" t="s">
        <v>287</v>
      </c>
    </row>
    <row r="11" spans="1:12" x14ac:dyDescent="0.25">
      <c r="A11" s="9" t="str">
        <f t="shared" si="2"/>
        <v>8C DEVICE INFO</v>
      </c>
      <c r="B11" t="s">
        <v>6</v>
      </c>
      <c r="C11" s="7" t="str">
        <f t="shared" si="3"/>
        <v>31</v>
      </c>
      <c r="D11" s="8" t="s">
        <v>109</v>
      </c>
      <c r="E11" s="7" t="str">
        <f t="shared" si="4"/>
        <v>10</v>
      </c>
      <c r="G11" s="16" t="s">
        <v>248</v>
      </c>
      <c r="H11" s="14" t="s">
        <v>287</v>
      </c>
    </row>
    <row r="12" spans="1:12" x14ac:dyDescent="0.25">
      <c r="A12" s="9" t="str">
        <f t="shared" si="2"/>
        <v>01 MASTER REQUEST - APPOINT END</v>
      </c>
      <c r="B12" t="s">
        <v>7</v>
      </c>
      <c r="C12" s="7" t="str">
        <f t="shared" si="3"/>
        <v>10</v>
      </c>
      <c r="D12" s="8" t="s">
        <v>109</v>
      </c>
      <c r="E12" s="7" t="str">
        <f t="shared" si="4"/>
        <v>18</v>
      </c>
      <c r="G12" s="16" t="s">
        <v>249</v>
      </c>
      <c r="H12" s="14" t="s">
        <v>288</v>
      </c>
    </row>
    <row r="13" spans="1:12" x14ac:dyDescent="0.25">
      <c r="A13" s="9" t="str">
        <f t="shared" si="2"/>
        <v>01 MASTER REQUEST - ???</v>
      </c>
      <c r="B13" t="s">
        <v>8</v>
      </c>
      <c r="C13" s="7" t="str">
        <f t="shared" si="3"/>
        <v>10</v>
      </c>
      <c r="D13" s="8" t="s">
        <v>109</v>
      </c>
      <c r="E13" s="7" t="str">
        <f t="shared" si="4"/>
        <v>18</v>
      </c>
      <c r="G13" s="16" t="s">
        <v>250</v>
      </c>
      <c r="H13" s="14" t="s">
        <v>289</v>
      </c>
    </row>
    <row r="14" spans="1:12" x14ac:dyDescent="0.25">
      <c r="A14" s="9" t="str">
        <f t="shared" si="2"/>
        <v>88 FROM MASTER TO GROUP ID AFTER ANYONE SPECIAL</v>
      </c>
      <c r="B14" t="s">
        <v>9</v>
      </c>
      <c r="C14" s="7" t="str">
        <f t="shared" si="3"/>
        <v>11</v>
      </c>
      <c r="D14" s="8" t="s">
        <v>109</v>
      </c>
      <c r="E14" s="7" t="str">
        <f t="shared" si="4"/>
        <v>31</v>
      </c>
      <c r="G14" s="16" t="s">
        <v>251</v>
      </c>
      <c r="H14" s="14" t="s">
        <v>290</v>
      </c>
    </row>
    <row r="15" spans="1:12" x14ac:dyDescent="0.25">
      <c r="A15" s="9" t="str">
        <f t="shared" si="2"/>
        <v>87 WAKE FROM IDLE?</v>
      </c>
      <c r="B15" t="s">
        <v>10</v>
      </c>
      <c r="C15" s="7" t="str">
        <f t="shared" si="3"/>
        <v>10</v>
      </c>
      <c r="D15" s="8" t="s">
        <v>109</v>
      </c>
      <c r="E15" s="7" t="str">
        <f t="shared" si="4"/>
        <v>18</v>
      </c>
      <c r="G15" s="16" t="s">
        <v>252</v>
      </c>
      <c r="H15" s="14" t="s">
        <v>291</v>
      </c>
    </row>
    <row r="16" spans="1:12" x14ac:dyDescent="0.25">
      <c r="A16" s="9" t="str">
        <f t="shared" si="2"/>
        <v>F0 SWITCH SOURCE FROM 51 TO 31</v>
      </c>
      <c r="B16" t="s">
        <v>11</v>
      </c>
      <c r="C16" s="7" t="str">
        <f t="shared" si="3"/>
        <v>10</v>
      </c>
      <c r="D16" s="8" t="s">
        <v>109</v>
      </c>
      <c r="E16" s="7" t="str">
        <f t="shared" si="4"/>
        <v>18</v>
      </c>
      <c r="G16" s="16" t="s">
        <v>253</v>
      </c>
      <c r="H16" s="14" t="s">
        <v>292</v>
      </c>
    </row>
    <row r="17" spans="1:8" x14ac:dyDescent="0.25">
      <c r="A17" s="9" t="str">
        <f t="shared" si="2"/>
        <v>21 SWITCH TO CD?</v>
      </c>
      <c r="B17" t="s">
        <v>12</v>
      </c>
      <c r="C17" s="7" t="str">
        <f t="shared" si="3"/>
        <v>11</v>
      </c>
      <c r="D17" s="8" t="s">
        <v>109</v>
      </c>
      <c r="E17" s="7" t="str">
        <f t="shared" si="4"/>
        <v>31</v>
      </c>
      <c r="G17" s="16" t="s">
        <v>254</v>
      </c>
      <c r="H17" s="14" t="s">
        <v>293</v>
      </c>
    </row>
    <row r="18" spans="1:8" x14ac:dyDescent="0.25">
      <c r="A18" s="9" t="str">
        <f t="shared" si="2"/>
        <v>20 PLAY (FROM MASTER)</v>
      </c>
      <c r="B18" t="s">
        <v>13</v>
      </c>
      <c r="C18" s="7" t="str">
        <f t="shared" si="3"/>
        <v>10</v>
      </c>
      <c r="D18" s="8" t="s">
        <v>109</v>
      </c>
      <c r="E18" s="7" t="str">
        <f t="shared" si="4"/>
        <v>31</v>
      </c>
      <c r="G18" s="16" t="s">
        <v>255</v>
      </c>
      <c r="H18" s="14" t="s">
        <v>294</v>
      </c>
    </row>
    <row r="19" spans="1:8" x14ac:dyDescent="0.25">
      <c r="A19" s="9" t="str">
        <f t="shared" si="2"/>
        <v>84 REQUEST MORE TEXT FIELDS - SEND MAGAZINE INFO</v>
      </c>
      <c r="B19" t="s">
        <v>14</v>
      </c>
      <c r="C19" s="7" t="str">
        <f t="shared" si="3"/>
        <v>10</v>
      </c>
      <c r="D19" s="8" t="s">
        <v>109</v>
      </c>
      <c r="E19" s="7" t="str">
        <f t="shared" si="4"/>
        <v>31</v>
      </c>
      <c r="G19" s="16" t="s">
        <v>256</v>
      </c>
      <c r="H19" s="14" t="s">
        <v>295</v>
      </c>
    </row>
    <row r="20" spans="1:8" x14ac:dyDescent="0.25">
      <c r="A20" s="9" t="str">
        <f t="shared" si="2"/>
        <v>01 MASTER REQUEST - TIME POLL</v>
      </c>
      <c r="B20" t="s">
        <v>15</v>
      </c>
      <c r="C20" s="7" t="str">
        <f t="shared" si="3"/>
        <v>10</v>
      </c>
      <c r="D20" s="8" t="s">
        <v>109</v>
      </c>
      <c r="E20" s="7" t="str">
        <f t="shared" si="4"/>
        <v>31</v>
      </c>
      <c r="G20" s="16" t="s">
        <v>257</v>
      </c>
      <c r="H20" s="14" t="s">
        <v>296</v>
      </c>
    </row>
    <row r="21" spans="1:8" x14ac:dyDescent="0.25">
      <c r="A21" s="9" t="str">
        <f t="shared" si="2"/>
        <v>00 STATUS - CHANGED CD</v>
      </c>
      <c r="B21" t="s">
        <v>16</v>
      </c>
      <c r="C21" s="7" t="str">
        <f t="shared" si="3"/>
        <v>31</v>
      </c>
      <c r="D21" s="8" t="s">
        <v>109</v>
      </c>
      <c r="E21" s="7" t="str">
        <f t="shared" si="4"/>
        <v>10</v>
      </c>
      <c r="G21" s="16" t="s">
        <v>258</v>
      </c>
      <c r="H21" s="14" t="s">
        <v>297</v>
      </c>
    </row>
    <row r="22" spans="1:8" x14ac:dyDescent="0.25">
      <c r="A22" s="9" t="str">
        <f t="shared" si="2"/>
        <v>84 REQUEST MORE TEXT FIELDS - SEND DISC INFO</v>
      </c>
      <c r="B22" t="s">
        <v>17</v>
      </c>
      <c r="C22" s="7" t="str">
        <f t="shared" si="3"/>
        <v>10</v>
      </c>
      <c r="D22" s="8" t="s">
        <v>109</v>
      </c>
      <c r="E22" s="7" t="str">
        <f t="shared" si="4"/>
        <v>31</v>
      </c>
      <c r="G22" s="16" t="s">
        <v>259</v>
      </c>
      <c r="H22" s="14" t="s">
        <v>298</v>
      </c>
    </row>
    <row r="23" spans="1:8" x14ac:dyDescent="0.25">
      <c r="A23" s="9" t="str">
        <f t="shared" si="2"/>
        <v>01 MASTER REQUEST - SLAVE POLL</v>
      </c>
      <c r="B23" t="s">
        <v>18</v>
      </c>
      <c r="C23" s="7" t="str">
        <f t="shared" si="3"/>
        <v>10</v>
      </c>
      <c r="D23" s="8" t="s">
        <v>109</v>
      </c>
      <c r="E23" s="7" t="str">
        <f t="shared" si="4"/>
        <v>31</v>
      </c>
      <c r="G23" s="16" t="s">
        <v>260</v>
      </c>
      <c r="H23" s="14" t="s">
        <v>299</v>
      </c>
    </row>
    <row r="24" spans="1:8" x14ac:dyDescent="0.25">
      <c r="A24" s="9" t="str">
        <f t="shared" si="2"/>
        <v>C0 SEEKING TO - (NO PARITY2???) XCARLINK BUG, ALFA 166 ICS DOESN'T ALLOW 13 BYTE RESPONSES!</v>
      </c>
      <c r="B24" t="s">
        <v>19</v>
      </c>
      <c r="C24" s="7" t="str">
        <f t="shared" si="3"/>
        <v>31</v>
      </c>
      <c r="D24" s="8" t="s">
        <v>109</v>
      </c>
      <c r="E24" s="7" t="str">
        <f t="shared" si="4"/>
        <v>70</v>
      </c>
      <c r="G24" s="16" t="s">
        <v>261</v>
      </c>
      <c r="H24" s="14" t="s">
        <v>300</v>
      </c>
    </row>
    <row r="25" spans="1:8" x14ac:dyDescent="0.25">
      <c r="A25" s="9" t="str">
        <f t="shared" si="2"/>
        <v>01 MASTER REQUEST - SLAVE POLL</v>
      </c>
      <c r="B25" t="s">
        <v>18</v>
      </c>
      <c r="C25" s="7" t="str">
        <f t="shared" si="3"/>
        <v>10</v>
      </c>
      <c r="D25" s="8" t="s">
        <v>109</v>
      </c>
      <c r="E25" s="7" t="str">
        <f t="shared" si="4"/>
        <v>31</v>
      </c>
      <c r="G25" s="16" t="s">
        <v>262</v>
      </c>
      <c r="H25" s="14" t="s">
        <v>301</v>
      </c>
    </row>
    <row r="26" spans="1:8" x14ac:dyDescent="0.25">
      <c r="A26" s="9" t="str">
        <f t="shared" si="2"/>
        <v>C0 SEEKING TO - (NO PARITY2???) XCARLINK BUG, ALFA 166 ICS DOESN'T ALLOW 13 BYTE RESPONSES!</v>
      </c>
      <c r="B26" t="s">
        <v>20</v>
      </c>
      <c r="C26" s="7" t="str">
        <f t="shared" si="3"/>
        <v>31</v>
      </c>
      <c r="D26" s="8" t="s">
        <v>109</v>
      </c>
      <c r="E26" s="7" t="str">
        <f t="shared" si="4"/>
        <v>77</v>
      </c>
      <c r="G26" s="16" t="s">
        <v>263</v>
      </c>
      <c r="H26" s="14" t="s">
        <v>302</v>
      </c>
    </row>
    <row r="27" spans="1:8" x14ac:dyDescent="0.25">
      <c r="A27" s="9" t="str">
        <f t="shared" si="2"/>
        <v>01 MASTER REQUEST - SLAVE POLL</v>
      </c>
      <c r="B27" t="s">
        <v>18</v>
      </c>
      <c r="C27" s="7" t="str">
        <f t="shared" si="3"/>
        <v>10</v>
      </c>
      <c r="D27" s="8" t="s">
        <v>109</v>
      </c>
      <c r="E27" s="7" t="str">
        <f t="shared" si="4"/>
        <v>31</v>
      </c>
      <c r="G27" s="16" t="s">
        <v>264</v>
      </c>
      <c r="H27" s="14" t="s">
        <v>303</v>
      </c>
    </row>
    <row r="28" spans="1:8" x14ac:dyDescent="0.25">
      <c r="A28" s="9" t="str">
        <f t="shared" si="2"/>
        <v>C0 SEEKING TO - (NO PARITY2???) XCARLINK BUG, ALFA 166 ICS DOESN'T ALLOW 13 BYTE RESPONSES!</v>
      </c>
      <c r="B28" t="s">
        <v>20</v>
      </c>
      <c r="C28" s="7" t="str">
        <f t="shared" si="3"/>
        <v>31</v>
      </c>
      <c r="D28" s="8" t="s">
        <v>109</v>
      </c>
      <c r="E28" s="7" t="str">
        <f t="shared" si="4"/>
        <v>77</v>
      </c>
      <c r="G28" s="16" t="s">
        <v>265</v>
      </c>
      <c r="H28" s="14" t="s">
        <v>304</v>
      </c>
    </row>
    <row r="29" spans="1:8" x14ac:dyDescent="0.25">
      <c r="A29" s="9" t="str">
        <f t="shared" si="2"/>
        <v>01 MASTER REQUEST - SLAVE POLL</v>
      </c>
      <c r="B29" t="s">
        <v>18</v>
      </c>
      <c r="C29" s="7" t="str">
        <f t="shared" si="3"/>
        <v>10</v>
      </c>
      <c r="D29" s="8" t="s">
        <v>109</v>
      </c>
      <c r="E29" s="7" t="str">
        <f t="shared" si="4"/>
        <v>31</v>
      </c>
      <c r="G29" s="16" t="s">
        <v>266</v>
      </c>
      <c r="H29" s="14" t="s">
        <v>305</v>
      </c>
    </row>
    <row r="30" spans="1:8" x14ac:dyDescent="0.25">
      <c r="A30" s="9" t="str">
        <f t="shared" si="2"/>
        <v>95 MAGAZINE INFO - CD1 YES, CD2 YES, CD3 NO, CD4 NO, CD5 NO, CD6 NO</v>
      </c>
      <c r="B30" t="s">
        <v>21</v>
      </c>
      <c r="C30" s="7" t="str">
        <f t="shared" si="3"/>
        <v>31</v>
      </c>
      <c r="D30" s="8" t="s">
        <v>109</v>
      </c>
      <c r="E30" s="7" t="str">
        <f t="shared" si="4"/>
        <v>10</v>
      </c>
      <c r="G30" s="16" t="s">
        <v>267</v>
      </c>
      <c r="H30" s="14" t="s">
        <v>306</v>
      </c>
    </row>
    <row r="31" spans="1:8" x14ac:dyDescent="0.25">
      <c r="A31" s="9" t="str">
        <f t="shared" si="2"/>
        <v>01 MASTER REQUEST - SLAVE POLL</v>
      </c>
      <c r="B31" t="s">
        <v>18</v>
      </c>
      <c r="C31" s="7" t="str">
        <f t="shared" si="3"/>
        <v>10</v>
      </c>
      <c r="D31" s="8" t="s">
        <v>109</v>
      </c>
      <c r="E31" s="7" t="str">
        <f t="shared" si="4"/>
        <v>31</v>
      </c>
      <c r="G31" s="16" t="s">
        <v>268</v>
      </c>
      <c r="H31" s="14" t="s">
        <v>307</v>
      </c>
    </row>
    <row r="32" spans="1:8" x14ac:dyDescent="0.25">
      <c r="A32" s="9" t="str">
        <f t="shared" si="2"/>
        <v>C0 SEEKING TO - (NO PARITY2???) XCARLINK BUG, ALFA 166 ICS DOESN'T ALLOW 13 BYTE RESPONSES!</v>
      </c>
      <c r="B32" t="s">
        <v>19</v>
      </c>
      <c r="C32" s="7" t="str">
        <f t="shared" si="3"/>
        <v>31</v>
      </c>
      <c r="D32" s="8" t="s">
        <v>109</v>
      </c>
      <c r="E32" s="7" t="str">
        <f t="shared" si="4"/>
        <v>70</v>
      </c>
      <c r="G32" s="16" t="s">
        <v>269</v>
      </c>
      <c r="H32" s="14" t="s">
        <v>270</v>
      </c>
    </row>
    <row r="33" spans="1:8" x14ac:dyDescent="0.25">
      <c r="A33" s="9" t="str">
        <f t="shared" si="2"/>
        <v>01 MASTER REQUEST - SLAVE POLL</v>
      </c>
      <c r="B33" t="s">
        <v>18</v>
      </c>
      <c r="C33" s="7" t="str">
        <f t="shared" si="3"/>
        <v>10</v>
      </c>
      <c r="D33" s="8" t="s">
        <v>109</v>
      </c>
      <c r="E33" s="7" t="str">
        <f t="shared" si="4"/>
        <v>31</v>
      </c>
      <c r="G33" s="16" t="s">
        <v>271</v>
      </c>
      <c r="H33" s="14" t="s">
        <v>272</v>
      </c>
    </row>
    <row r="34" spans="1:8" x14ac:dyDescent="0.25">
      <c r="A34" s="9" t="str">
        <f t="shared" si="2"/>
        <v>97 DISC INFO - TRACKS: 77, MINS: 88, SECS: 00, DISC: 1</v>
      </c>
      <c r="B34" t="s">
        <v>22</v>
      </c>
      <c r="C34" s="7" t="str">
        <f t="shared" si="3"/>
        <v>31</v>
      </c>
      <c r="D34" s="8" t="s">
        <v>109</v>
      </c>
      <c r="E34" s="7" t="str">
        <f t="shared" si="4"/>
        <v>10</v>
      </c>
      <c r="G34" s="16" t="s">
        <v>273</v>
      </c>
      <c r="H34" s="14" t="s">
        <v>308</v>
      </c>
    </row>
    <row r="35" spans="1:8" x14ac:dyDescent="0.25">
      <c r="A35" s="9" t="str">
        <f t="shared" si="2"/>
        <v>01 MASTER REQUEST - SLAVE POLL</v>
      </c>
      <c r="B35" t="s">
        <v>18</v>
      </c>
      <c r="C35" s="7" t="str">
        <f t="shared" si="3"/>
        <v>10</v>
      </c>
      <c r="D35" s="8" t="s">
        <v>109</v>
      </c>
      <c r="E35" s="7" t="str">
        <f t="shared" si="4"/>
        <v>31</v>
      </c>
      <c r="G35" s="16" t="s">
        <v>274</v>
      </c>
      <c r="H35" s="14" t="s">
        <v>309</v>
      </c>
    </row>
    <row r="36" spans="1:8" x14ac:dyDescent="0.25">
      <c r="A36" s="9" t="str">
        <f t="shared" si="2"/>
        <v>D5 DISC IDENTIFIER</v>
      </c>
      <c r="B36" t="s">
        <v>23</v>
      </c>
      <c r="C36" s="7" t="str">
        <f t="shared" si="3"/>
        <v>31</v>
      </c>
      <c r="D36" s="8" t="s">
        <v>109</v>
      </c>
      <c r="E36" s="7" t="str">
        <f t="shared" si="4"/>
        <v>10</v>
      </c>
      <c r="G36" s="16" t="s">
        <v>275</v>
      </c>
      <c r="H36" s="14" t="s">
        <v>310</v>
      </c>
    </row>
    <row r="37" spans="1:8" x14ac:dyDescent="0.25">
      <c r="A37" s="9" t="str">
        <f t="shared" si="2"/>
        <v>01 MASTER REQUEST - SLAVE POLL</v>
      </c>
      <c r="B37" t="s">
        <v>18</v>
      </c>
      <c r="C37" s="7" t="str">
        <f t="shared" si="3"/>
        <v>10</v>
      </c>
      <c r="D37" s="8" t="s">
        <v>109</v>
      </c>
      <c r="E37" s="7" t="str">
        <f t="shared" si="4"/>
        <v>31</v>
      </c>
      <c r="G37" s="16" t="s">
        <v>276</v>
      </c>
      <c r="H37" s="14" t="s">
        <v>311</v>
      </c>
    </row>
    <row r="38" spans="1:8" x14ac:dyDescent="0.25">
      <c r="A38" s="9" t="str">
        <f t="shared" si="2"/>
        <v>90 TIME- TRACK: 40, 01:33, DISC: 1</v>
      </c>
      <c r="B38" s="6" t="s">
        <v>24</v>
      </c>
      <c r="C38" s="7" t="str">
        <f t="shared" si="3"/>
        <v>31</v>
      </c>
      <c r="D38" s="8" t="s">
        <v>109</v>
      </c>
      <c r="E38" s="7" t="str">
        <f t="shared" si="4"/>
        <v>70</v>
      </c>
      <c r="G38" s="16" t="s">
        <v>277</v>
      </c>
      <c r="H38" s="14" t="s">
        <v>278</v>
      </c>
    </row>
    <row r="39" spans="1:8" x14ac:dyDescent="0.25">
      <c r="A39" s="9" t="str">
        <f t="shared" si="2"/>
        <v>01 MASTER REQUEST - SLAVE POLL</v>
      </c>
      <c r="B39" t="s">
        <v>18</v>
      </c>
      <c r="C39" s="7" t="str">
        <f t="shared" si="3"/>
        <v>10</v>
      </c>
      <c r="D39" s="8" t="s">
        <v>109</v>
      </c>
      <c r="E39" s="7" t="str">
        <f t="shared" si="4"/>
        <v>31</v>
      </c>
      <c r="G39" s="16" t="s">
        <v>279</v>
      </c>
      <c r="H39" s="14" t="s">
        <v>312</v>
      </c>
    </row>
    <row r="40" spans="1:8" x14ac:dyDescent="0.25">
      <c r="A40" s="9" t="str">
        <f t="shared" si="2"/>
        <v>00 STATUS - PLAYING</v>
      </c>
      <c r="B40" t="s">
        <v>25</v>
      </c>
      <c r="C40" s="7" t="str">
        <f t="shared" si="3"/>
        <v>31</v>
      </c>
      <c r="D40" s="8" t="s">
        <v>109</v>
      </c>
      <c r="E40" s="7" t="str">
        <f t="shared" si="4"/>
        <v>10</v>
      </c>
      <c r="G40" s="16" t="s">
        <v>280</v>
      </c>
      <c r="H40" s="14" t="s">
        <v>188</v>
      </c>
    </row>
    <row r="41" spans="1:8" x14ac:dyDescent="0.25">
      <c r="A41" s="9" t="str">
        <f t="shared" si="2"/>
        <v>01 MASTER REQUEST - SLAVE POLL</v>
      </c>
      <c r="B41" t="s">
        <v>18</v>
      </c>
      <c r="C41" s="7" t="str">
        <f t="shared" si="3"/>
        <v>10</v>
      </c>
      <c r="D41" s="8" t="s">
        <v>109</v>
      </c>
      <c r="E41" s="7" t="str">
        <f t="shared" si="4"/>
        <v>31</v>
      </c>
      <c r="G41" s="16" t="s">
        <v>281</v>
      </c>
      <c r="H41" s="14" t="s">
        <v>282</v>
      </c>
    </row>
    <row r="42" spans="1:8" x14ac:dyDescent="0.25">
      <c r="A42" s="9" t="str">
        <f t="shared" si="2"/>
        <v>90 TIME- TRACK: 40, 01:34, DISC: 1</v>
      </c>
      <c r="B42" t="s">
        <v>26</v>
      </c>
      <c r="C42" s="7" t="str">
        <f t="shared" si="3"/>
        <v>31</v>
      </c>
      <c r="D42" s="8" t="s">
        <v>109</v>
      </c>
      <c r="E42" s="7" t="str">
        <f t="shared" si="4"/>
        <v>70</v>
      </c>
      <c r="G42" s="16" t="s">
        <v>283</v>
      </c>
      <c r="H42" s="14" t="s">
        <v>284</v>
      </c>
    </row>
    <row r="43" spans="1:8" ht="15.75" thickBot="1" x14ac:dyDescent="0.3">
      <c r="A43" s="9" t="str">
        <f t="shared" si="2"/>
        <v>01 MASTER REQUEST - SLAVE POLL</v>
      </c>
      <c r="B43" t="s">
        <v>18</v>
      </c>
      <c r="C43" s="7" t="str">
        <f t="shared" si="3"/>
        <v>10</v>
      </c>
      <c r="D43" s="8" t="s">
        <v>109</v>
      </c>
      <c r="E43" s="7" t="str">
        <f t="shared" si="4"/>
        <v>31</v>
      </c>
      <c r="G43" s="17" t="s">
        <v>285</v>
      </c>
      <c r="H43" s="15" t="s">
        <v>286</v>
      </c>
    </row>
    <row r="44" spans="1:8" x14ac:dyDescent="0.25">
      <c r="A44" s="9" t="str">
        <f t="shared" si="2"/>
        <v>00 STATUS - PLAYING</v>
      </c>
      <c r="B44" t="s">
        <v>25</v>
      </c>
      <c r="C44" s="7" t="str">
        <f t="shared" si="3"/>
        <v>31</v>
      </c>
      <c r="D44" s="8" t="s">
        <v>109</v>
      </c>
      <c r="E44" s="7" t="str">
        <f t="shared" si="4"/>
        <v>10</v>
      </c>
    </row>
    <row r="45" spans="1:8" x14ac:dyDescent="0.25">
      <c r="A45" s="9" t="str">
        <f t="shared" si="2"/>
        <v>84 REQUEST MORE TEXT FIELDS - SEND MAGAZINE INFO</v>
      </c>
      <c r="B45" t="s">
        <v>14</v>
      </c>
      <c r="C45" s="7" t="str">
        <f t="shared" si="3"/>
        <v>10</v>
      </c>
      <c r="D45" s="8" t="s">
        <v>109</v>
      </c>
      <c r="E45" s="7" t="str">
        <f t="shared" si="4"/>
        <v>31</v>
      </c>
    </row>
    <row r="46" spans="1:8" x14ac:dyDescent="0.25">
      <c r="A46" s="9" t="str">
        <f t="shared" si="2"/>
        <v>01 MASTER REQUEST - TIME POLL</v>
      </c>
      <c r="B46" t="s">
        <v>15</v>
      </c>
      <c r="C46" s="7" t="str">
        <f t="shared" si="3"/>
        <v>10</v>
      </c>
      <c r="D46" s="8" t="s">
        <v>109</v>
      </c>
      <c r="E46" s="7" t="str">
        <f t="shared" si="4"/>
        <v>31</v>
      </c>
    </row>
    <row r="47" spans="1:8" x14ac:dyDescent="0.25">
      <c r="A47" s="9" t="str">
        <f t="shared" si="2"/>
        <v>00 STATUS - PLAYING</v>
      </c>
      <c r="B47" s="2" t="s">
        <v>25</v>
      </c>
      <c r="C47" s="7" t="str">
        <f t="shared" si="3"/>
        <v>31</v>
      </c>
      <c r="D47" s="8" t="s">
        <v>109</v>
      </c>
      <c r="E47" s="7" t="str">
        <f t="shared" si="4"/>
        <v>10</v>
      </c>
    </row>
    <row r="48" spans="1:8" x14ac:dyDescent="0.25">
      <c r="A48" s="9" t="str">
        <f t="shared" si="2"/>
        <v>84 REQUEST MORE TEXT FIELDS - SEND DISC INFO</v>
      </c>
      <c r="B48" t="s">
        <v>17</v>
      </c>
      <c r="C48" s="7" t="str">
        <f t="shared" si="3"/>
        <v>10</v>
      </c>
      <c r="D48" s="8" t="s">
        <v>109</v>
      </c>
      <c r="E48" s="7" t="str">
        <f t="shared" si="4"/>
        <v>31</v>
      </c>
    </row>
    <row r="49" spans="1:5" x14ac:dyDescent="0.25">
      <c r="A49" s="9" t="str">
        <f t="shared" si="2"/>
        <v>01 MASTER REQUEST - SLAVE POLL</v>
      </c>
      <c r="B49" s="4" t="s">
        <v>27</v>
      </c>
      <c r="C49" s="7" t="str">
        <f t="shared" si="3"/>
        <v>10</v>
      </c>
      <c r="D49" s="8" t="s">
        <v>109</v>
      </c>
      <c r="E49" s="7" t="str">
        <f t="shared" si="4"/>
        <v>31</v>
      </c>
    </row>
    <row r="50" spans="1:5" x14ac:dyDescent="0.25">
      <c r="A50" s="9" t="str">
        <f t="shared" si="2"/>
        <v>95 MAGAZINE INFO - CD1 YES, CD2 YES, CD3 NO, CD4 NO, CD5 NO, CD6 NO</v>
      </c>
      <c r="B50" t="s">
        <v>21</v>
      </c>
      <c r="C50" s="7" t="str">
        <f t="shared" si="3"/>
        <v>31</v>
      </c>
      <c r="D50" s="8" t="s">
        <v>109</v>
      </c>
      <c r="E50" s="7" t="str">
        <f t="shared" si="4"/>
        <v>10</v>
      </c>
    </row>
    <row r="51" spans="1:5" x14ac:dyDescent="0.25">
      <c r="A51" s="9" t="str">
        <f t="shared" si="2"/>
        <v>01 MASTER REQUEST - SLAVE POLL</v>
      </c>
      <c r="B51" t="s">
        <v>18</v>
      </c>
      <c r="C51" s="7" t="str">
        <f t="shared" si="3"/>
        <v>10</v>
      </c>
      <c r="D51" s="8" t="s">
        <v>109</v>
      </c>
      <c r="E51" s="7" t="str">
        <f t="shared" si="4"/>
        <v>31</v>
      </c>
    </row>
    <row r="52" spans="1:5" x14ac:dyDescent="0.25">
      <c r="A52" s="9" t="str">
        <f t="shared" si="2"/>
        <v>97 DISC INFO - TRACKS: 77, MINS: 88, SECS: 00, DISC: 1</v>
      </c>
      <c r="B52" t="s">
        <v>22</v>
      </c>
      <c r="C52" s="7" t="str">
        <f t="shared" si="3"/>
        <v>31</v>
      </c>
      <c r="D52" s="8" t="s">
        <v>109</v>
      </c>
      <c r="E52" s="7" t="str">
        <f t="shared" si="4"/>
        <v>10</v>
      </c>
    </row>
    <row r="53" spans="1:5" x14ac:dyDescent="0.25">
      <c r="A53" s="9" t="str">
        <f t="shared" si="2"/>
        <v>01 MASTER REQUEST - SLAVE POLL</v>
      </c>
      <c r="B53" t="s">
        <v>18</v>
      </c>
      <c r="C53" s="7" t="str">
        <f t="shared" si="3"/>
        <v>10</v>
      </c>
      <c r="D53" s="8" t="s">
        <v>109</v>
      </c>
      <c r="E53" s="7" t="str">
        <f t="shared" si="4"/>
        <v>31</v>
      </c>
    </row>
    <row r="54" spans="1:5" x14ac:dyDescent="0.25">
      <c r="A54" s="9" t="str">
        <f t="shared" si="2"/>
        <v>90 TIME- TRACK: 40, 01:35, DISC: 1</v>
      </c>
      <c r="B54" t="s">
        <v>28</v>
      </c>
      <c r="C54" s="7" t="str">
        <f t="shared" si="3"/>
        <v>31</v>
      </c>
      <c r="D54" s="8" t="s">
        <v>109</v>
      </c>
      <c r="E54" s="7" t="str">
        <f t="shared" si="4"/>
        <v>70</v>
      </c>
    </row>
    <row r="55" spans="1:5" x14ac:dyDescent="0.25">
      <c r="A55" s="9" t="str">
        <f t="shared" si="2"/>
        <v>84 REQUEST MORE TEXT FIELDS - SEND MAGAZINE INFO</v>
      </c>
      <c r="B55" t="s">
        <v>14</v>
      </c>
      <c r="C55" s="7" t="str">
        <f t="shared" si="3"/>
        <v>10</v>
      </c>
      <c r="D55" s="8" t="s">
        <v>109</v>
      </c>
      <c r="E55" s="7" t="str">
        <f t="shared" si="4"/>
        <v>31</v>
      </c>
    </row>
    <row r="56" spans="1:5" x14ac:dyDescent="0.25">
      <c r="A56" s="9" t="str">
        <f t="shared" si="2"/>
        <v>01 MASTER REQUEST - TIME POLL</v>
      </c>
      <c r="B56" t="s">
        <v>15</v>
      </c>
      <c r="C56" s="7" t="str">
        <f t="shared" si="3"/>
        <v>10</v>
      </c>
      <c r="D56" s="8" t="s">
        <v>109</v>
      </c>
      <c r="E56" s="7" t="str">
        <f t="shared" si="4"/>
        <v>31</v>
      </c>
    </row>
    <row r="57" spans="1:5" x14ac:dyDescent="0.25">
      <c r="A57" s="9" t="str">
        <f t="shared" si="2"/>
        <v>00 STATUS - PLAYING</v>
      </c>
      <c r="B57" t="s">
        <v>25</v>
      </c>
      <c r="C57" s="7" t="str">
        <f t="shared" si="3"/>
        <v>31</v>
      </c>
      <c r="D57" s="8" t="s">
        <v>109</v>
      </c>
      <c r="E57" s="7" t="str">
        <f t="shared" si="4"/>
        <v>10</v>
      </c>
    </row>
    <row r="58" spans="1:5" x14ac:dyDescent="0.25">
      <c r="A58" s="9" t="str">
        <f t="shared" si="2"/>
        <v>01 MASTER REQUEST - SLAVE POLL</v>
      </c>
      <c r="B58" t="s">
        <v>18</v>
      </c>
      <c r="C58" s="7" t="str">
        <f t="shared" si="3"/>
        <v>10</v>
      </c>
      <c r="D58" s="8" t="s">
        <v>109</v>
      </c>
      <c r="E58" s="7" t="str">
        <f t="shared" si="4"/>
        <v>31</v>
      </c>
    </row>
    <row r="59" spans="1:5" x14ac:dyDescent="0.25">
      <c r="A59" s="9" t="str">
        <f t="shared" si="2"/>
        <v>95 MAGAZINE INFO - CD1 YES, CD2 YES, CD3 NO, CD4 NO, CD5 NO, CD6 NO</v>
      </c>
      <c r="B59" t="s">
        <v>21</v>
      </c>
      <c r="C59" s="7" t="str">
        <f t="shared" si="3"/>
        <v>31</v>
      </c>
      <c r="D59" s="8" t="s">
        <v>109</v>
      </c>
      <c r="E59" s="7" t="str">
        <f t="shared" si="4"/>
        <v>10</v>
      </c>
    </row>
    <row r="60" spans="1:5" x14ac:dyDescent="0.25">
      <c r="A60" s="9" t="str">
        <f t="shared" si="2"/>
        <v>84 REQUEST MORE TEXT FIELDS - SEND DISC INFO</v>
      </c>
      <c r="B60" t="s">
        <v>17</v>
      </c>
      <c r="C60" s="7" t="str">
        <f t="shared" si="3"/>
        <v>10</v>
      </c>
      <c r="D60" s="8" t="s">
        <v>109</v>
      </c>
      <c r="E60" s="7" t="str">
        <f t="shared" si="4"/>
        <v>31</v>
      </c>
    </row>
    <row r="61" spans="1:5" x14ac:dyDescent="0.25">
      <c r="A61" s="9" t="str">
        <f t="shared" si="2"/>
        <v>01 MASTER REQUEST - SLAVE POLL</v>
      </c>
      <c r="B61" t="s">
        <v>18</v>
      </c>
      <c r="C61" s="7" t="str">
        <f t="shared" si="3"/>
        <v>10</v>
      </c>
      <c r="D61" s="8" t="s">
        <v>109</v>
      </c>
      <c r="E61" s="7" t="str">
        <f t="shared" si="4"/>
        <v>31</v>
      </c>
    </row>
    <row r="62" spans="1:5" x14ac:dyDescent="0.25">
      <c r="A62" s="9" t="str">
        <f t="shared" si="2"/>
        <v>90 TIME- TRACK: 40, 01:36, DISC: 1</v>
      </c>
      <c r="B62" t="s">
        <v>29</v>
      </c>
      <c r="C62" s="7" t="str">
        <f t="shared" si="3"/>
        <v>31</v>
      </c>
      <c r="D62" s="8" t="s">
        <v>109</v>
      </c>
      <c r="E62" s="7" t="str">
        <f t="shared" si="4"/>
        <v>70</v>
      </c>
    </row>
    <row r="63" spans="1:5" x14ac:dyDescent="0.25">
      <c r="A63" s="9" t="str">
        <f t="shared" si="2"/>
        <v>01 MASTER REQUEST - SLAVE POLL</v>
      </c>
      <c r="B63" t="s">
        <v>18</v>
      </c>
      <c r="C63" s="7" t="str">
        <f t="shared" si="3"/>
        <v>10</v>
      </c>
      <c r="D63" s="8" t="s">
        <v>109</v>
      </c>
      <c r="E63" s="7" t="str">
        <f t="shared" si="4"/>
        <v>31</v>
      </c>
    </row>
    <row r="64" spans="1:5" x14ac:dyDescent="0.25">
      <c r="A64" s="9" t="str">
        <f t="shared" si="2"/>
        <v>97 DISC INFO - TRACKS: 77, MINS: 88, SECS: 00, DISC: 1</v>
      </c>
      <c r="B64" t="s">
        <v>22</v>
      </c>
      <c r="C64" s="7" t="str">
        <f t="shared" si="3"/>
        <v>31</v>
      </c>
      <c r="D64" s="8" t="s">
        <v>109</v>
      </c>
      <c r="E64" s="7" t="str">
        <f t="shared" si="4"/>
        <v>10</v>
      </c>
    </row>
    <row r="65" spans="1:5" x14ac:dyDescent="0.25">
      <c r="A65" s="9" t="str">
        <f t="shared" si="2"/>
        <v>01 MASTER REQUEST - SLAVE POLL</v>
      </c>
      <c r="B65" t="s">
        <v>18</v>
      </c>
      <c r="C65" s="7" t="str">
        <f t="shared" si="3"/>
        <v>10</v>
      </c>
      <c r="D65" s="8" t="s">
        <v>109</v>
      </c>
      <c r="E65" s="7" t="str">
        <f t="shared" si="4"/>
        <v>31</v>
      </c>
    </row>
    <row r="66" spans="1:5" x14ac:dyDescent="0.25">
      <c r="A66" s="9" t="str">
        <f t="shared" si="2"/>
        <v>90 TIME- TRACK: 40, 01:37, DISC: 1</v>
      </c>
      <c r="B66" t="s">
        <v>30</v>
      </c>
      <c r="C66" s="7" t="str">
        <f t="shared" si="3"/>
        <v>31</v>
      </c>
      <c r="D66" s="8" t="s">
        <v>109</v>
      </c>
      <c r="E66" s="7" t="str">
        <f t="shared" si="4"/>
        <v>70</v>
      </c>
    </row>
    <row r="67" spans="1:5" x14ac:dyDescent="0.25">
      <c r="A67" s="9" t="str">
        <f t="shared" ref="A67:A130" si="5">ParseUnilink(B67)</f>
        <v>01 MASTER REQUEST - SLAVE POLL</v>
      </c>
      <c r="B67" t="s">
        <v>18</v>
      </c>
      <c r="C67" s="7" t="str">
        <f t="shared" ref="C67:C130" si="6">MID(B67,4,2)</f>
        <v>10</v>
      </c>
      <c r="D67" s="8" t="s">
        <v>109</v>
      </c>
      <c r="E67" s="7" t="str">
        <f t="shared" ref="E67:E130" si="7">MID(B67,1,2)</f>
        <v>31</v>
      </c>
    </row>
    <row r="68" spans="1:5" x14ac:dyDescent="0.25">
      <c r="A68" s="9" t="str">
        <f t="shared" si="5"/>
        <v>00 STATUS - PLAYING</v>
      </c>
      <c r="B68" t="s">
        <v>25</v>
      </c>
      <c r="C68" s="7" t="str">
        <f t="shared" si="6"/>
        <v>31</v>
      </c>
      <c r="D68" s="8" t="s">
        <v>109</v>
      </c>
      <c r="E68" s="7" t="str">
        <f t="shared" si="7"/>
        <v>10</v>
      </c>
    </row>
    <row r="69" spans="1:5" x14ac:dyDescent="0.25">
      <c r="A69" s="9" t="str">
        <f t="shared" si="5"/>
        <v>84 REQUEST MORE TEXT FIELDS - SEND MAGAZINE INFO</v>
      </c>
      <c r="B69" s="3" t="s">
        <v>14</v>
      </c>
      <c r="C69" s="7" t="str">
        <f t="shared" si="6"/>
        <v>10</v>
      </c>
      <c r="D69" s="8" t="s">
        <v>109</v>
      </c>
      <c r="E69" s="7" t="str">
        <f t="shared" si="7"/>
        <v>31</v>
      </c>
    </row>
    <row r="70" spans="1:5" x14ac:dyDescent="0.25">
      <c r="A70" s="9" t="str">
        <f t="shared" si="5"/>
        <v>01 MASTER REQUEST - TIME POLL</v>
      </c>
      <c r="B70" t="s">
        <v>15</v>
      </c>
      <c r="C70" s="7" t="str">
        <f t="shared" si="6"/>
        <v>10</v>
      </c>
      <c r="D70" s="8" t="s">
        <v>109</v>
      </c>
      <c r="E70" s="7" t="str">
        <f t="shared" si="7"/>
        <v>31</v>
      </c>
    </row>
    <row r="71" spans="1:5" x14ac:dyDescent="0.25">
      <c r="A71" s="9" t="str">
        <f t="shared" si="5"/>
        <v>00 STATUS - PLAYING</v>
      </c>
      <c r="B71" t="s">
        <v>25</v>
      </c>
      <c r="C71" s="7" t="str">
        <f t="shared" si="6"/>
        <v>31</v>
      </c>
      <c r="D71" s="8" t="s">
        <v>109</v>
      </c>
      <c r="E71" s="7" t="str">
        <f t="shared" si="7"/>
        <v>10</v>
      </c>
    </row>
    <row r="72" spans="1:5" x14ac:dyDescent="0.25">
      <c r="A72" s="9" t="str">
        <f t="shared" si="5"/>
        <v>84 REQUEST MORE TEXT FIELDS - SEND DISC INFO</v>
      </c>
      <c r="B72" t="s">
        <v>17</v>
      </c>
      <c r="C72" s="7" t="str">
        <f t="shared" si="6"/>
        <v>10</v>
      </c>
      <c r="D72" s="8" t="s">
        <v>109</v>
      </c>
      <c r="E72" s="7" t="str">
        <f t="shared" si="7"/>
        <v>31</v>
      </c>
    </row>
    <row r="73" spans="1:5" x14ac:dyDescent="0.25">
      <c r="A73" s="9" t="str">
        <f t="shared" si="5"/>
        <v>01 MASTER REQUEST - SLAVE POLL</v>
      </c>
      <c r="B73" t="s">
        <v>18</v>
      </c>
      <c r="C73" s="7" t="str">
        <f t="shared" si="6"/>
        <v>10</v>
      </c>
      <c r="D73" s="8" t="s">
        <v>109</v>
      </c>
      <c r="E73" s="7" t="str">
        <f t="shared" si="7"/>
        <v>31</v>
      </c>
    </row>
    <row r="74" spans="1:5" x14ac:dyDescent="0.25">
      <c r="A74" s="9" t="str">
        <f t="shared" si="5"/>
        <v>95 MAGAZINE INFO - CD1 YES, CD2 YES, CD3 NO, CD4 NO, CD5 NO, CD6 NO</v>
      </c>
      <c r="B74" t="s">
        <v>21</v>
      </c>
      <c r="C74" s="7" t="str">
        <f t="shared" si="6"/>
        <v>31</v>
      </c>
      <c r="D74" s="8" t="s">
        <v>109</v>
      </c>
      <c r="E74" s="7" t="str">
        <f t="shared" si="7"/>
        <v>10</v>
      </c>
    </row>
    <row r="75" spans="1:5" x14ac:dyDescent="0.25">
      <c r="A75" s="9" t="str">
        <f t="shared" si="5"/>
        <v>01 MASTER REQUEST - SLAVE POLL</v>
      </c>
      <c r="B75" t="s">
        <v>18</v>
      </c>
      <c r="C75" s="7" t="str">
        <f t="shared" si="6"/>
        <v>10</v>
      </c>
      <c r="D75" s="8" t="s">
        <v>109</v>
      </c>
      <c r="E75" s="7" t="str">
        <f t="shared" si="7"/>
        <v>31</v>
      </c>
    </row>
    <row r="76" spans="1:5" x14ac:dyDescent="0.25">
      <c r="A76" s="9" t="str">
        <f t="shared" si="5"/>
        <v>97 DISC INFO - TRACKS: 77, MINS: 88, SECS: 00, DISC: 1</v>
      </c>
      <c r="B76" t="s">
        <v>22</v>
      </c>
      <c r="C76" s="7" t="str">
        <f t="shared" si="6"/>
        <v>31</v>
      </c>
      <c r="D76" s="8" t="s">
        <v>109</v>
      </c>
      <c r="E76" s="7" t="str">
        <f t="shared" si="7"/>
        <v>10</v>
      </c>
    </row>
    <row r="77" spans="1:5" x14ac:dyDescent="0.25">
      <c r="A77" s="9" t="str">
        <f t="shared" si="5"/>
        <v>01 MASTER REQUEST - SLAVE POLL</v>
      </c>
      <c r="B77" t="s">
        <v>18</v>
      </c>
      <c r="C77" s="7" t="str">
        <f t="shared" si="6"/>
        <v>10</v>
      </c>
      <c r="D77" s="8" t="s">
        <v>109</v>
      </c>
      <c r="E77" s="7" t="str">
        <f t="shared" si="7"/>
        <v>31</v>
      </c>
    </row>
    <row r="78" spans="1:5" x14ac:dyDescent="0.25">
      <c r="A78" s="9" t="str">
        <f t="shared" si="5"/>
        <v>90 TIME- TRACK: 40, 01:38, DISC: 1</v>
      </c>
      <c r="B78" t="s">
        <v>31</v>
      </c>
      <c r="C78" s="7" t="str">
        <f t="shared" si="6"/>
        <v>31</v>
      </c>
      <c r="D78" s="8" t="s">
        <v>109</v>
      </c>
      <c r="E78" s="7" t="str">
        <f t="shared" si="7"/>
        <v>70</v>
      </c>
    </row>
    <row r="79" spans="1:5" x14ac:dyDescent="0.25">
      <c r="A79" s="9" t="str">
        <f t="shared" si="5"/>
        <v>01 MASTER REQUEST - SLAVE POLL</v>
      </c>
      <c r="B79" t="s">
        <v>18</v>
      </c>
      <c r="C79" s="7" t="str">
        <f t="shared" si="6"/>
        <v>10</v>
      </c>
      <c r="D79" s="8" t="s">
        <v>109</v>
      </c>
      <c r="E79" s="7" t="str">
        <f t="shared" si="7"/>
        <v>31</v>
      </c>
    </row>
    <row r="80" spans="1:5" x14ac:dyDescent="0.25">
      <c r="A80" s="9" t="str">
        <f t="shared" si="5"/>
        <v>00 STATUS - PLAYING</v>
      </c>
      <c r="B80" t="s">
        <v>25</v>
      </c>
      <c r="C80" s="7" t="str">
        <f t="shared" si="6"/>
        <v>31</v>
      </c>
      <c r="D80" s="8" t="s">
        <v>109</v>
      </c>
      <c r="E80" s="7" t="str">
        <f t="shared" si="7"/>
        <v>10</v>
      </c>
    </row>
    <row r="81" spans="1:5" x14ac:dyDescent="0.25">
      <c r="A81" s="9" t="str">
        <f t="shared" si="5"/>
        <v>84 REQUEST MORE TEXT FIELDS - SEND MAGAZINE INFO</v>
      </c>
      <c r="B81" t="s">
        <v>14</v>
      </c>
      <c r="C81" s="7" t="str">
        <f t="shared" si="6"/>
        <v>10</v>
      </c>
      <c r="D81" s="8" t="s">
        <v>109</v>
      </c>
      <c r="E81" s="7" t="str">
        <f t="shared" si="7"/>
        <v>31</v>
      </c>
    </row>
    <row r="82" spans="1:5" x14ac:dyDescent="0.25">
      <c r="A82" s="9" t="str">
        <f t="shared" si="5"/>
        <v>01 MASTER REQUEST - TIME POLL</v>
      </c>
      <c r="B82" t="s">
        <v>15</v>
      </c>
      <c r="C82" s="7" t="str">
        <f t="shared" si="6"/>
        <v>10</v>
      </c>
      <c r="D82" s="8" t="s">
        <v>109</v>
      </c>
      <c r="E82" s="7" t="str">
        <f t="shared" si="7"/>
        <v>31</v>
      </c>
    </row>
    <row r="83" spans="1:5" x14ac:dyDescent="0.25">
      <c r="A83" s="9" t="str">
        <f t="shared" si="5"/>
        <v>00 STATUS - PLAYING</v>
      </c>
      <c r="B83" t="s">
        <v>25</v>
      </c>
      <c r="C83" s="7" t="str">
        <f t="shared" si="6"/>
        <v>31</v>
      </c>
      <c r="D83" s="8" t="s">
        <v>109</v>
      </c>
      <c r="E83" s="7" t="str">
        <f t="shared" si="7"/>
        <v>10</v>
      </c>
    </row>
    <row r="84" spans="1:5" x14ac:dyDescent="0.25">
      <c r="A84" s="9" t="str">
        <f t="shared" si="5"/>
        <v>84 REQUEST MORE TEXT FIELDS - SEND DISC INFO</v>
      </c>
      <c r="B84" t="s">
        <v>17</v>
      </c>
      <c r="C84" s="7" t="str">
        <f t="shared" si="6"/>
        <v>10</v>
      </c>
      <c r="D84" s="8" t="s">
        <v>109</v>
      </c>
      <c r="E84" s="7" t="str">
        <f t="shared" si="7"/>
        <v>31</v>
      </c>
    </row>
    <row r="85" spans="1:5" x14ac:dyDescent="0.25">
      <c r="A85" s="9" t="str">
        <f t="shared" si="5"/>
        <v>01 MASTER REQUEST - SLAVE POLL</v>
      </c>
      <c r="B85" t="s">
        <v>18</v>
      </c>
      <c r="C85" s="7" t="str">
        <f t="shared" si="6"/>
        <v>10</v>
      </c>
      <c r="D85" s="8" t="s">
        <v>109</v>
      </c>
      <c r="E85" s="7" t="str">
        <f t="shared" si="7"/>
        <v>31</v>
      </c>
    </row>
    <row r="86" spans="1:5" x14ac:dyDescent="0.25">
      <c r="A86" s="9" t="str">
        <f t="shared" si="5"/>
        <v>95 MAGAZINE INFO - CD1 YES, CD2 YES, CD3 NO, CD4 NO, CD5 NO, CD6 NO</v>
      </c>
      <c r="B86" t="s">
        <v>21</v>
      </c>
      <c r="C86" s="7" t="str">
        <f t="shared" si="6"/>
        <v>31</v>
      </c>
      <c r="D86" s="8" t="s">
        <v>109</v>
      </c>
      <c r="E86" s="7" t="str">
        <f t="shared" si="7"/>
        <v>10</v>
      </c>
    </row>
    <row r="87" spans="1:5" x14ac:dyDescent="0.25">
      <c r="A87" s="9" t="str">
        <f t="shared" si="5"/>
        <v>01 MASTER REQUEST - SLAVE POLL</v>
      </c>
      <c r="B87" t="s">
        <v>18</v>
      </c>
      <c r="C87" s="7" t="str">
        <f t="shared" si="6"/>
        <v>10</v>
      </c>
      <c r="D87" s="8" t="s">
        <v>109</v>
      </c>
      <c r="E87" s="7" t="str">
        <f t="shared" si="7"/>
        <v>31</v>
      </c>
    </row>
    <row r="88" spans="1:5" x14ac:dyDescent="0.25">
      <c r="A88" s="9" t="str">
        <f t="shared" si="5"/>
        <v>97 DISC INFO - TRACKS: 77, MINS: 88, SECS: 00, DISC: 1</v>
      </c>
      <c r="B88" t="s">
        <v>22</v>
      </c>
      <c r="C88" s="7" t="str">
        <f t="shared" si="6"/>
        <v>31</v>
      </c>
      <c r="D88" s="8" t="s">
        <v>109</v>
      </c>
      <c r="E88" s="7" t="str">
        <f t="shared" si="7"/>
        <v>10</v>
      </c>
    </row>
    <row r="89" spans="1:5" x14ac:dyDescent="0.25">
      <c r="A89" s="9" t="str">
        <f t="shared" si="5"/>
        <v>01 MASTER REQUEST - SLAVE POLL</v>
      </c>
      <c r="B89" t="s">
        <v>18</v>
      </c>
      <c r="C89" s="7" t="str">
        <f t="shared" si="6"/>
        <v>10</v>
      </c>
      <c r="D89" s="8" t="s">
        <v>109</v>
      </c>
      <c r="E89" s="7" t="str">
        <f t="shared" si="7"/>
        <v>31</v>
      </c>
    </row>
    <row r="90" spans="1:5" x14ac:dyDescent="0.25">
      <c r="A90" s="9" t="str">
        <f t="shared" si="5"/>
        <v>90 TIME- TRACK: 40, 01:39, DISC: 1</v>
      </c>
      <c r="B90" t="s">
        <v>32</v>
      </c>
      <c r="C90" s="7" t="str">
        <f t="shared" si="6"/>
        <v>31</v>
      </c>
      <c r="D90" s="8" t="s">
        <v>109</v>
      </c>
      <c r="E90" s="7" t="str">
        <f t="shared" si="7"/>
        <v>70</v>
      </c>
    </row>
    <row r="91" spans="1:5" x14ac:dyDescent="0.25">
      <c r="A91" s="9" t="str">
        <f t="shared" si="5"/>
        <v>01 MASTER REQUEST - SLAVE POLL</v>
      </c>
      <c r="B91" t="s">
        <v>18</v>
      </c>
      <c r="C91" s="7" t="str">
        <f t="shared" si="6"/>
        <v>10</v>
      </c>
      <c r="D91" s="8" t="s">
        <v>109</v>
      </c>
      <c r="E91" s="7" t="str">
        <f t="shared" si="7"/>
        <v>31</v>
      </c>
    </row>
    <row r="92" spans="1:5" x14ac:dyDescent="0.25">
      <c r="A92" s="9" t="str">
        <f t="shared" si="5"/>
        <v>00 STATUS - PLAYING</v>
      </c>
      <c r="B92" t="s">
        <v>25</v>
      </c>
      <c r="C92" s="7" t="str">
        <f t="shared" si="6"/>
        <v>31</v>
      </c>
      <c r="D92" s="8" t="s">
        <v>109</v>
      </c>
      <c r="E92" s="7" t="str">
        <f t="shared" si="7"/>
        <v>10</v>
      </c>
    </row>
    <row r="93" spans="1:5" x14ac:dyDescent="0.25">
      <c r="A93" s="9" t="str">
        <f t="shared" si="5"/>
        <v>84 REQUEST MORE TEXT FIELDS - SEND MAGAZINE INFO</v>
      </c>
      <c r="B93" t="s">
        <v>14</v>
      </c>
      <c r="C93" s="7" t="str">
        <f t="shared" si="6"/>
        <v>10</v>
      </c>
      <c r="D93" s="8" t="s">
        <v>109</v>
      </c>
      <c r="E93" s="7" t="str">
        <f t="shared" si="7"/>
        <v>31</v>
      </c>
    </row>
    <row r="94" spans="1:5" x14ac:dyDescent="0.25">
      <c r="A94" s="9" t="str">
        <f t="shared" si="5"/>
        <v>01 MASTER REQUEST - TIME POLL</v>
      </c>
      <c r="B94" t="s">
        <v>15</v>
      </c>
      <c r="C94" s="7" t="str">
        <f t="shared" si="6"/>
        <v>10</v>
      </c>
      <c r="D94" s="8" t="s">
        <v>109</v>
      </c>
      <c r="E94" s="7" t="str">
        <f t="shared" si="7"/>
        <v>31</v>
      </c>
    </row>
    <row r="95" spans="1:5" x14ac:dyDescent="0.25">
      <c r="A95" s="9" t="str">
        <f t="shared" si="5"/>
        <v>00 STATUS - PLAYING</v>
      </c>
      <c r="B95" t="s">
        <v>25</v>
      </c>
      <c r="C95" s="7" t="str">
        <f t="shared" si="6"/>
        <v>31</v>
      </c>
      <c r="D95" s="8" t="s">
        <v>109</v>
      </c>
      <c r="E95" s="7" t="str">
        <f t="shared" si="7"/>
        <v>10</v>
      </c>
    </row>
    <row r="96" spans="1:5" x14ac:dyDescent="0.25">
      <c r="A96" s="9" t="str">
        <f t="shared" si="5"/>
        <v>84 REQUEST MORE TEXT FIELDS - SEND DISC INFO</v>
      </c>
      <c r="B96" t="s">
        <v>17</v>
      </c>
      <c r="C96" s="7" t="str">
        <f t="shared" si="6"/>
        <v>10</v>
      </c>
      <c r="D96" s="8" t="s">
        <v>109</v>
      </c>
      <c r="E96" s="7" t="str">
        <f t="shared" si="7"/>
        <v>31</v>
      </c>
    </row>
    <row r="97" spans="1:5" x14ac:dyDescent="0.25">
      <c r="A97" s="9" t="str">
        <f t="shared" si="5"/>
        <v>01 MASTER REQUEST - SLAVE POLL</v>
      </c>
      <c r="B97" t="s">
        <v>18</v>
      </c>
      <c r="C97" s="7" t="str">
        <f t="shared" si="6"/>
        <v>10</v>
      </c>
      <c r="D97" s="8" t="s">
        <v>109</v>
      </c>
      <c r="E97" s="7" t="str">
        <f t="shared" si="7"/>
        <v>31</v>
      </c>
    </row>
    <row r="98" spans="1:5" x14ac:dyDescent="0.25">
      <c r="A98" s="9" t="str">
        <f t="shared" si="5"/>
        <v>95 MAGAZINE INFO - CD1 YES, CD2 YES, CD3 NO, CD4 NO, CD5 NO, CD6 NO</v>
      </c>
      <c r="B98" t="s">
        <v>21</v>
      </c>
      <c r="C98" s="7" t="str">
        <f t="shared" si="6"/>
        <v>31</v>
      </c>
      <c r="D98" s="8" t="s">
        <v>109</v>
      </c>
      <c r="E98" s="7" t="str">
        <f t="shared" si="7"/>
        <v>10</v>
      </c>
    </row>
    <row r="99" spans="1:5" x14ac:dyDescent="0.25">
      <c r="A99" s="9" t="str">
        <f t="shared" si="5"/>
        <v>01 MASTER REQUEST - SLAVE POLL</v>
      </c>
      <c r="B99" t="s">
        <v>18</v>
      </c>
      <c r="C99" s="7" t="str">
        <f t="shared" si="6"/>
        <v>10</v>
      </c>
      <c r="D99" s="8" t="s">
        <v>109</v>
      </c>
      <c r="E99" s="7" t="str">
        <f t="shared" si="7"/>
        <v>31</v>
      </c>
    </row>
    <row r="100" spans="1:5" x14ac:dyDescent="0.25">
      <c r="A100" s="9" t="str">
        <f t="shared" si="5"/>
        <v>97 DISC INFO - TRACKS: 77, MINS: 88, SECS: 00, DISC: 1</v>
      </c>
      <c r="B100" t="s">
        <v>22</v>
      </c>
      <c r="C100" s="7" t="str">
        <f t="shared" si="6"/>
        <v>31</v>
      </c>
      <c r="D100" s="8" t="s">
        <v>109</v>
      </c>
      <c r="E100" s="7" t="str">
        <f t="shared" si="7"/>
        <v>10</v>
      </c>
    </row>
    <row r="101" spans="1:5" x14ac:dyDescent="0.25">
      <c r="A101" s="9" t="str">
        <f t="shared" si="5"/>
        <v>01 MASTER REQUEST - SLAVE POLL</v>
      </c>
      <c r="B101" t="s">
        <v>18</v>
      </c>
      <c r="C101" s="7" t="str">
        <f t="shared" si="6"/>
        <v>10</v>
      </c>
      <c r="D101" s="8" t="s">
        <v>109</v>
      </c>
      <c r="E101" s="7" t="str">
        <f t="shared" si="7"/>
        <v>31</v>
      </c>
    </row>
    <row r="102" spans="1:5" x14ac:dyDescent="0.25">
      <c r="A102" s="9" t="str">
        <f t="shared" si="5"/>
        <v>90 TIME- TRACK: 40, 01:40, DISC: 1</v>
      </c>
      <c r="B102" t="s">
        <v>104</v>
      </c>
      <c r="C102" s="7" t="str">
        <f t="shared" si="6"/>
        <v>31</v>
      </c>
      <c r="D102" s="8" t="s">
        <v>109</v>
      </c>
      <c r="E102" s="7" t="str">
        <f t="shared" si="7"/>
        <v>70</v>
      </c>
    </row>
    <row r="103" spans="1:5" x14ac:dyDescent="0.25">
      <c r="A103" s="9" t="str">
        <f t="shared" si="5"/>
        <v>01 MASTER REQUEST - SLAVE POLL</v>
      </c>
      <c r="B103" t="s">
        <v>18</v>
      </c>
      <c r="C103" s="7" t="str">
        <f t="shared" si="6"/>
        <v>10</v>
      </c>
      <c r="D103" s="8" t="s">
        <v>109</v>
      </c>
      <c r="E103" s="7" t="str">
        <f t="shared" si="7"/>
        <v>31</v>
      </c>
    </row>
    <row r="104" spans="1:5" x14ac:dyDescent="0.25">
      <c r="A104" s="9" t="str">
        <f t="shared" si="5"/>
        <v>00 STATUS - PLAYING</v>
      </c>
      <c r="B104" t="s">
        <v>25</v>
      </c>
      <c r="C104" s="7" t="str">
        <f t="shared" si="6"/>
        <v>31</v>
      </c>
      <c r="D104" s="8" t="s">
        <v>109</v>
      </c>
      <c r="E104" s="7" t="str">
        <f t="shared" si="7"/>
        <v>10</v>
      </c>
    </row>
    <row r="105" spans="1:5" x14ac:dyDescent="0.25">
      <c r="A105" s="9" t="str">
        <f t="shared" si="5"/>
        <v>01 MASTER REQUEST - SLAVE POLL</v>
      </c>
      <c r="B105" t="s">
        <v>18</v>
      </c>
      <c r="C105" s="7" t="str">
        <f t="shared" si="6"/>
        <v>10</v>
      </c>
      <c r="D105" s="8" t="s">
        <v>109</v>
      </c>
      <c r="E105" s="7" t="str">
        <f t="shared" si="7"/>
        <v>31</v>
      </c>
    </row>
    <row r="106" spans="1:5" x14ac:dyDescent="0.25">
      <c r="A106" s="9" t="str">
        <f t="shared" si="5"/>
        <v>90 TIME- TRACK: 41, 01:40, DISC: 1</v>
      </c>
      <c r="B106" t="s">
        <v>105</v>
      </c>
      <c r="C106" s="7" t="str">
        <f t="shared" si="6"/>
        <v>31</v>
      </c>
      <c r="D106" s="8" t="s">
        <v>109</v>
      </c>
      <c r="E106" s="7" t="str">
        <f t="shared" si="7"/>
        <v>70</v>
      </c>
    </row>
    <row r="107" spans="1:5" x14ac:dyDescent="0.25">
      <c r="A107" s="9" t="str">
        <f t="shared" si="5"/>
        <v>01 MASTER REQUEST - SLAVE POLL</v>
      </c>
      <c r="B107" t="s">
        <v>18</v>
      </c>
      <c r="C107" s="7" t="str">
        <f t="shared" si="6"/>
        <v>10</v>
      </c>
      <c r="D107" s="8" t="s">
        <v>109</v>
      </c>
      <c r="E107" s="7" t="str">
        <f t="shared" si="7"/>
        <v>31</v>
      </c>
    </row>
    <row r="108" spans="1:5" x14ac:dyDescent="0.25">
      <c r="A108" s="9" t="str">
        <f t="shared" si="5"/>
        <v>00 STATUS - PLAYING</v>
      </c>
      <c r="B108" t="s">
        <v>25</v>
      </c>
      <c r="C108" s="7" t="str">
        <f t="shared" si="6"/>
        <v>31</v>
      </c>
      <c r="D108" s="8" t="s">
        <v>109</v>
      </c>
      <c r="E108" s="7" t="str">
        <f t="shared" si="7"/>
        <v>10</v>
      </c>
    </row>
    <row r="109" spans="1:5" x14ac:dyDescent="0.25">
      <c r="A109" s="9" t="str">
        <f t="shared" si="5"/>
        <v>84 REQUEST MORE TEXT FIELDS - SEND MAGAZINE INFO</v>
      </c>
      <c r="B109" t="s">
        <v>14</v>
      </c>
      <c r="C109" s="7" t="str">
        <f t="shared" si="6"/>
        <v>10</v>
      </c>
      <c r="D109" s="8" t="s">
        <v>109</v>
      </c>
      <c r="E109" s="7" t="str">
        <f t="shared" si="7"/>
        <v>31</v>
      </c>
    </row>
    <row r="110" spans="1:5" x14ac:dyDescent="0.25">
      <c r="A110" s="9" t="str">
        <f t="shared" si="5"/>
        <v>01 MASTER REQUEST - TIME POLL</v>
      </c>
      <c r="B110" t="s">
        <v>15</v>
      </c>
      <c r="C110" s="7" t="str">
        <f t="shared" si="6"/>
        <v>10</v>
      </c>
      <c r="D110" s="8" t="s">
        <v>109</v>
      </c>
      <c r="E110" s="7" t="str">
        <f t="shared" si="7"/>
        <v>31</v>
      </c>
    </row>
    <row r="111" spans="1:5" x14ac:dyDescent="0.25">
      <c r="A111" s="9" t="str">
        <f t="shared" si="5"/>
        <v>00 STATUS - PLAYING</v>
      </c>
      <c r="B111" t="s">
        <v>25</v>
      </c>
      <c r="C111" s="7" t="str">
        <f t="shared" si="6"/>
        <v>31</v>
      </c>
      <c r="D111" s="8" t="s">
        <v>109</v>
      </c>
      <c r="E111" s="7" t="str">
        <f t="shared" si="7"/>
        <v>10</v>
      </c>
    </row>
    <row r="112" spans="1:5" x14ac:dyDescent="0.25">
      <c r="A112" s="9" t="str">
        <f t="shared" si="5"/>
        <v>84 REQUEST MORE TEXT FIELDS - SEND DISC INFO</v>
      </c>
      <c r="B112" t="s">
        <v>17</v>
      </c>
      <c r="C112" s="7" t="str">
        <f t="shared" si="6"/>
        <v>10</v>
      </c>
      <c r="D112" s="8" t="s">
        <v>109</v>
      </c>
      <c r="E112" s="7" t="str">
        <f t="shared" si="7"/>
        <v>31</v>
      </c>
    </row>
    <row r="113" spans="1:5" x14ac:dyDescent="0.25">
      <c r="A113" s="9" t="str">
        <f t="shared" si="5"/>
        <v>01 MASTER REQUEST - SLAVE POLL</v>
      </c>
      <c r="B113" t="s">
        <v>18</v>
      </c>
      <c r="C113" s="7" t="str">
        <f t="shared" si="6"/>
        <v>10</v>
      </c>
      <c r="D113" s="8" t="s">
        <v>109</v>
      </c>
      <c r="E113" s="7" t="str">
        <f t="shared" si="7"/>
        <v>31</v>
      </c>
    </row>
    <row r="114" spans="1:5" x14ac:dyDescent="0.25">
      <c r="A114" s="9" t="str">
        <f t="shared" si="5"/>
        <v>95 MAGAZINE INFO - CD1 YES, CD2 YES, CD3 NO, CD4 NO, CD5 NO, CD6 NO</v>
      </c>
      <c r="B114" t="s">
        <v>21</v>
      </c>
      <c r="C114" s="7" t="str">
        <f t="shared" si="6"/>
        <v>31</v>
      </c>
      <c r="D114" s="8" t="s">
        <v>109</v>
      </c>
      <c r="E114" s="7" t="str">
        <f t="shared" si="7"/>
        <v>10</v>
      </c>
    </row>
    <row r="115" spans="1:5" x14ac:dyDescent="0.25">
      <c r="A115" s="9" t="str">
        <f t="shared" si="5"/>
        <v>01 MASTER REQUEST - SLAVE POLL</v>
      </c>
      <c r="B115" t="s">
        <v>18</v>
      </c>
      <c r="C115" s="7" t="str">
        <f t="shared" si="6"/>
        <v>10</v>
      </c>
      <c r="D115" s="8" t="s">
        <v>109</v>
      </c>
      <c r="E115" s="7" t="str">
        <f t="shared" si="7"/>
        <v>31</v>
      </c>
    </row>
    <row r="116" spans="1:5" x14ac:dyDescent="0.25">
      <c r="A116" s="9" t="str">
        <f t="shared" si="5"/>
        <v>97 DISC INFO - TRACKS: 77, MINS: 88, SECS: 00, DISC: 1</v>
      </c>
      <c r="B116" t="s">
        <v>22</v>
      </c>
      <c r="C116" s="7" t="str">
        <f t="shared" si="6"/>
        <v>31</v>
      </c>
      <c r="D116" s="8" t="s">
        <v>109</v>
      </c>
      <c r="E116" s="7" t="str">
        <f t="shared" si="7"/>
        <v>10</v>
      </c>
    </row>
    <row r="117" spans="1:5" x14ac:dyDescent="0.25">
      <c r="A117" s="9" t="str">
        <f t="shared" si="5"/>
        <v>01 MASTER REQUEST - SLAVE POLL</v>
      </c>
      <c r="B117" t="s">
        <v>18</v>
      </c>
      <c r="C117" s="7" t="str">
        <f t="shared" si="6"/>
        <v>10</v>
      </c>
      <c r="D117" s="8" t="s">
        <v>109</v>
      </c>
      <c r="E117" s="7" t="str">
        <f t="shared" si="7"/>
        <v>31</v>
      </c>
    </row>
    <row r="118" spans="1:5" x14ac:dyDescent="0.25">
      <c r="A118" s="9" t="str">
        <f t="shared" si="5"/>
        <v>90 TIME- TRACK: 42, 01:41, DISC: 1</v>
      </c>
      <c r="B118" t="s">
        <v>106</v>
      </c>
      <c r="C118" s="7" t="str">
        <f t="shared" si="6"/>
        <v>31</v>
      </c>
      <c r="D118" s="8" t="s">
        <v>109</v>
      </c>
      <c r="E118" s="7" t="str">
        <f t="shared" si="7"/>
        <v>70</v>
      </c>
    </row>
    <row r="119" spans="1:5" x14ac:dyDescent="0.25">
      <c r="A119" s="9" t="str">
        <f t="shared" si="5"/>
        <v>01 MASTER REQUEST - SLAVE POLL</v>
      </c>
      <c r="B119" t="s">
        <v>18</v>
      </c>
      <c r="C119" s="7" t="str">
        <f t="shared" si="6"/>
        <v>10</v>
      </c>
      <c r="D119" s="8" t="s">
        <v>109</v>
      </c>
      <c r="E119" s="7" t="str">
        <f t="shared" si="7"/>
        <v>31</v>
      </c>
    </row>
    <row r="120" spans="1:5" x14ac:dyDescent="0.25">
      <c r="A120" s="9" t="str">
        <f t="shared" si="5"/>
        <v>00 STATUS - PLAYING</v>
      </c>
      <c r="B120" t="s">
        <v>25</v>
      </c>
      <c r="C120" s="7" t="str">
        <f t="shared" si="6"/>
        <v>31</v>
      </c>
      <c r="D120" s="8" t="s">
        <v>109</v>
      </c>
      <c r="E120" s="7" t="str">
        <f t="shared" si="7"/>
        <v>10</v>
      </c>
    </row>
    <row r="121" spans="1:5" x14ac:dyDescent="0.25">
      <c r="A121" s="9" t="str">
        <f t="shared" si="5"/>
        <v>84 REQUEST MORE TEXT FIELDS - SEND MAGAZINE INFO</v>
      </c>
      <c r="B121" t="s">
        <v>14</v>
      </c>
      <c r="C121" s="7" t="str">
        <f t="shared" si="6"/>
        <v>10</v>
      </c>
      <c r="D121" s="8" t="s">
        <v>109</v>
      </c>
      <c r="E121" s="7" t="str">
        <f t="shared" si="7"/>
        <v>31</v>
      </c>
    </row>
    <row r="122" spans="1:5" x14ac:dyDescent="0.25">
      <c r="A122" s="9" t="str">
        <f t="shared" si="5"/>
        <v>01 MASTER REQUEST - TIME POLL</v>
      </c>
      <c r="B122" t="s">
        <v>15</v>
      </c>
      <c r="C122" s="7" t="str">
        <f t="shared" si="6"/>
        <v>10</v>
      </c>
      <c r="D122" s="8" t="s">
        <v>109</v>
      </c>
      <c r="E122" s="7" t="str">
        <f t="shared" si="7"/>
        <v>31</v>
      </c>
    </row>
    <row r="123" spans="1:5" x14ac:dyDescent="0.25">
      <c r="A123" s="9" t="str">
        <f t="shared" si="5"/>
        <v>00 STATUS - PLAYING</v>
      </c>
      <c r="B123" t="s">
        <v>25</v>
      </c>
      <c r="C123" s="7" t="str">
        <f t="shared" si="6"/>
        <v>31</v>
      </c>
      <c r="D123" s="8" t="s">
        <v>109</v>
      </c>
      <c r="E123" s="7" t="str">
        <f t="shared" si="7"/>
        <v>10</v>
      </c>
    </row>
    <row r="124" spans="1:5" x14ac:dyDescent="0.25">
      <c r="A124" s="9" t="str">
        <f t="shared" si="5"/>
        <v>84 REQUEST MORE TEXT FIELDS - SEND DISC INFO</v>
      </c>
      <c r="B124" t="s">
        <v>17</v>
      </c>
      <c r="C124" s="7" t="str">
        <f t="shared" si="6"/>
        <v>10</v>
      </c>
      <c r="D124" s="8" t="s">
        <v>109</v>
      </c>
      <c r="E124" s="7" t="str">
        <f t="shared" si="7"/>
        <v>31</v>
      </c>
    </row>
    <row r="125" spans="1:5" x14ac:dyDescent="0.25">
      <c r="A125" s="9" t="str">
        <f t="shared" si="5"/>
        <v>01 MASTER REQUEST - SLAVE POLL</v>
      </c>
      <c r="B125" t="s">
        <v>18</v>
      </c>
      <c r="C125" s="7" t="str">
        <f t="shared" si="6"/>
        <v>10</v>
      </c>
      <c r="D125" s="8" t="s">
        <v>109</v>
      </c>
      <c r="E125" s="7" t="str">
        <f t="shared" si="7"/>
        <v>31</v>
      </c>
    </row>
    <row r="126" spans="1:5" x14ac:dyDescent="0.25">
      <c r="A126" s="9" t="str">
        <f t="shared" si="5"/>
        <v>95 MAGAZINE INFO - CD1 YES, CD2 YES, CD3 NO, CD4 NO, CD5 NO, CD6 NO</v>
      </c>
      <c r="B126" t="s">
        <v>21</v>
      </c>
      <c r="C126" s="7" t="str">
        <f t="shared" si="6"/>
        <v>31</v>
      </c>
      <c r="D126" s="8" t="s">
        <v>109</v>
      </c>
      <c r="E126" s="7" t="str">
        <f t="shared" si="7"/>
        <v>10</v>
      </c>
    </row>
    <row r="127" spans="1:5" x14ac:dyDescent="0.25">
      <c r="A127" s="9" t="str">
        <f t="shared" si="5"/>
        <v>01 MASTER REQUEST - SLAVE POLL</v>
      </c>
      <c r="B127" t="s">
        <v>18</v>
      </c>
      <c r="C127" s="7" t="str">
        <f t="shared" si="6"/>
        <v>10</v>
      </c>
      <c r="D127" s="8" t="s">
        <v>109</v>
      </c>
      <c r="E127" s="7" t="str">
        <f t="shared" si="7"/>
        <v>31</v>
      </c>
    </row>
    <row r="128" spans="1:5" x14ac:dyDescent="0.25">
      <c r="A128" s="9" t="str">
        <f t="shared" si="5"/>
        <v>97 DISC INFO - TRACKS: 77, MINS: 88, SECS: 00, DISC: 1</v>
      </c>
      <c r="B128" t="s">
        <v>22</v>
      </c>
      <c r="C128" s="7" t="str">
        <f t="shared" si="6"/>
        <v>31</v>
      </c>
      <c r="D128" s="8" t="s">
        <v>109</v>
      </c>
      <c r="E128" s="7" t="str">
        <f t="shared" si="7"/>
        <v>10</v>
      </c>
    </row>
    <row r="129" spans="1:5" x14ac:dyDescent="0.25">
      <c r="A129" s="9" t="str">
        <f t="shared" si="5"/>
        <v>01 MASTER REQUEST - SLAVE POLL</v>
      </c>
      <c r="B129" t="s">
        <v>18</v>
      </c>
      <c r="C129" s="7" t="str">
        <f t="shared" si="6"/>
        <v>10</v>
      </c>
      <c r="D129" s="8" t="s">
        <v>109</v>
      </c>
      <c r="E129" s="7" t="str">
        <f t="shared" si="7"/>
        <v>31</v>
      </c>
    </row>
    <row r="130" spans="1:5" x14ac:dyDescent="0.25">
      <c r="A130" s="9" t="str">
        <f t="shared" si="5"/>
        <v>90 TIME- TRACK: 43, 01:41, DISC: 1</v>
      </c>
      <c r="B130" t="s">
        <v>101</v>
      </c>
      <c r="C130" s="7" t="str">
        <f t="shared" si="6"/>
        <v>31</v>
      </c>
      <c r="D130" s="8" t="s">
        <v>109</v>
      </c>
      <c r="E130" s="7" t="str">
        <f t="shared" si="7"/>
        <v>70</v>
      </c>
    </row>
    <row r="131" spans="1:5" x14ac:dyDescent="0.25">
      <c r="A131" s="9" t="str">
        <f t="shared" ref="A131:A160" si="8">ParseUnilink(B131)</f>
        <v>01 MASTER REQUEST - SLAVE POLL</v>
      </c>
      <c r="B131" t="s">
        <v>18</v>
      </c>
      <c r="C131" s="7" t="str">
        <f t="shared" ref="C131:C160" si="9">MID(B131,4,2)</f>
        <v>10</v>
      </c>
      <c r="D131" s="8" t="s">
        <v>109</v>
      </c>
      <c r="E131" s="7" t="str">
        <f t="shared" ref="E131:E160" si="10">MID(B131,1,2)</f>
        <v>31</v>
      </c>
    </row>
    <row r="132" spans="1:5" x14ac:dyDescent="0.25">
      <c r="A132" s="9" t="str">
        <f t="shared" si="8"/>
        <v>00 STATUS - PLAYING</v>
      </c>
      <c r="B132" t="s">
        <v>25</v>
      </c>
      <c r="C132" s="7" t="str">
        <f t="shared" si="9"/>
        <v>31</v>
      </c>
      <c r="D132" s="8" t="s">
        <v>109</v>
      </c>
      <c r="E132" s="7" t="str">
        <f t="shared" si="10"/>
        <v>10</v>
      </c>
    </row>
    <row r="133" spans="1:5" x14ac:dyDescent="0.25">
      <c r="A133" s="9" t="str">
        <f t="shared" si="8"/>
        <v>84 REQUEST MORE TEXT FIELDS - SEND MAGAZINE INFO</v>
      </c>
      <c r="B133" t="s">
        <v>14</v>
      </c>
      <c r="C133" s="7" t="str">
        <f t="shared" si="9"/>
        <v>10</v>
      </c>
      <c r="D133" s="8" t="s">
        <v>109</v>
      </c>
      <c r="E133" s="7" t="str">
        <f t="shared" si="10"/>
        <v>31</v>
      </c>
    </row>
    <row r="134" spans="1:5" x14ac:dyDescent="0.25">
      <c r="A134" s="9" t="str">
        <f t="shared" si="8"/>
        <v>01 MASTER REQUEST - TIME POLL</v>
      </c>
      <c r="B134" t="s">
        <v>15</v>
      </c>
      <c r="C134" s="7" t="str">
        <f t="shared" si="9"/>
        <v>10</v>
      </c>
      <c r="D134" s="8" t="s">
        <v>109</v>
      </c>
      <c r="E134" s="7" t="str">
        <f t="shared" si="10"/>
        <v>31</v>
      </c>
    </row>
    <row r="135" spans="1:5" x14ac:dyDescent="0.25">
      <c r="A135" s="9" t="str">
        <f t="shared" si="8"/>
        <v>00 STATUS - PLAYING</v>
      </c>
      <c r="B135" t="s">
        <v>25</v>
      </c>
      <c r="C135" s="7" t="str">
        <f t="shared" si="9"/>
        <v>31</v>
      </c>
      <c r="D135" s="8" t="s">
        <v>109</v>
      </c>
      <c r="E135" s="7" t="str">
        <f t="shared" si="10"/>
        <v>10</v>
      </c>
    </row>
    <row r="136" spans="1:5" x14ac:dyDescent="0.25">
      <c r="A136" s="9" t="str">
        <f t="shared" si="8"/>
        <v>84 REQUEST MORE TEXT FIELDS - SEND DISC INFO</v>
      </c>
      <c r="B136" t="s">
        <v>17</v>
      </c>
      <c r="C136" s="7" t="str">
        <f t="shared" si="9"/>
        <v>10</v>
      </c>
      <c r="D136" s="8" t="s">
        <v>109</v>
      </c>
      <c r="E136" s="7" t="str">
        <f t="shared" si="10"/>
        <v>31</v>
      </c>
    </row>
    <row r="137" spans="1:5" x14ac:dyDescent="0.25">
      <c r="A137" s="9" t="str">
        <f t="shared" si="8"/>
        <v>01 MASTER REQUEST - SLAVE POLL</v>
      </c>
      <c r="B137" t="s">
        <v>18</v>
      </c>
      <c r="C137" s="7" t="str">
        <f t="shared" si="9"/>
        <v>10</v>
      </c>
      <c r="D137" s="8" t="s">
        <v>109</v>
      </c>
      <c r="E137" s="7" t="str">
        <f t="shared" si="10"/>
        <v>31</v>
      </c>
    </row>
    <row r="138" spans="1:5" x14ac:dyDescent="0.25">
      <c r="A138" s="9" t="str">
        <f t="shared" si="8"/>
        <v>95 MAGAZINE INFO - CD1 YES, CD2 YES, CD3 NO, CD4 NO, CD5 NO, CD6 NO</v>
      </c>
      <c r="B138" t="s">
        <v>21</v>
      </c>
      <c r="C138" s="7" t="str">
        <f t="shared" si="9"/>
        <v>31</v>
      </c>
      <c r="D138" s="8" t="s">
        <v>109</v>
      </c>
      <c r="E138" s="7" t="str">
        <f t="shared" si="10"/>
        <v>10</v>
      </c>
    </row>
    <row r="139" spans="1:5" x14ac:dyDescent="0.25">
      <c r="A139" s="9" t="str">
        <f t="shared" si="8"/>
        <v>01 MASTER REQUEST - SLAVE POLL</v>
      </c>
      <c r="B139" t="s">
        <v>18</v>
      </c>
      <c r="C139" s="7" t="str">
        <f t="shared" si="9"/>
        <v>10</v>
      </c>
      <c r="D139" s="8" t="s">
        <v>109</v>
      </c>
      <c r="E139" s="7" t="str">
        <f t="shared" si="10"/>
        <v>31</v>
      </c>
    </row>
    <row r="140" spans="1:5" x14ac:dyDescent="0.25">
      <c r="A140" s="9" t="str">
        <f t="shared" si="8"/>
        <v>97 DISC INFO - TRACKS: 77, MINS: 88, SECS: 00, DISC: 1</v>
      </c>
      <c r="B140" t="s">
        <v>22</v>
      </c>
      <c r="C140" s="7" t="str">
        <f t="shared" si="9"/>
        <v>31</v>
      </c>
      <c r="D140" s="8" t="s">
        <v>109</v>
      </c>
      <c r="E140" s="7" t="str">
        <f t="shared" si="10"/>
        <v>10</v>
      </c>
    </row>
    <row r="141" spans="1:5" x14ac:dyDescent="0.25">
      <c r="A141" s="9" t="str">
        <f t="shared" si="8"/>
        <v>01 MASTER REQUEST - SLAVE POLL</v>
      </c>
      <c r="B141" t="s">
        <v>18</v>
      </c>
      <c r="C141" s="7" t="str">
        <f t="shared" si="9"/>
        <v>10</v>
      </c>
      <c r="D141" s="8" t="s">
        <v>109</v>
      </c>
      <c r="E141" s="7" t="str">
        <f t="shared" si="10"/>
        <v>31</v>
      </c>
    </row>
    <row r="142" spans="1:5" x14ac:dyDescent="0.25">
      <c r="A142" s="9" t="str">
        <f t="shared" si="8"/>
        <v>90 TIME- TRACK: 44, 01:41, DISC: 1</v>
      </c>
      <c r="B142" t="s">
        <v>102</v>
      </c>
      <c r="C142" s="7" t="str">
        <f t="shared" si="9"/>
        <v>31</v>
      </c>
      <c r="D142" s="8" t="s">
        <v>109</v>
      </c>
      <c r="E142" s="7" t="str">
        <f t="shared" si="10"/>
        <v>70</v>
      </c>
    </row>
    <row r="143" spans="1:5" x14ac:dyDescent="0.25">
      <c r="A143" s="9" t="str">
        <f t="shared" si="8"/>
        <v>01 MASTER REQUEST - SLAVE POLL</v>
      </c>
      <c r="B143" t="s">
        <v>18</v>
      </c>
      <c r="C143" s="7" t="str">
        <f t="shared" si="9"/>
        <v>10</v>
      </c>
      <c r="D143" s="8" t="s">
        <v>109</v>
      </c>
      <c r="E143" s="7" t="str">
        <f t="shared" si="10"/>
        <v>31</v>
      </c>
    </row>
    <row r="144" spans="1:5" x14ac:dyDescent="0.25">
      <c r="A144" s="9" t="str">
        <f t="shared" si="8"/>
        <v>00 STATUS - PLAYING</v>
      </c>
      <c r="B144" t="s">
        <v>25</v>
      </c>
      <c r="C144" s="7" t="str">
        <f t="shared" si="9"/>
        <v>31</v>
      </c>
      <c r="D144" s="8" t="s">
        <v>109</v>
      </c>
      <c r="E144" s="7" t="str">
        <f t="shared" si="10"/>
        <v>10</v>
      </c>
    </row>
    <row r="145" spans="1:5" x14ac:dyDescent="0.25">
      <c r="A145" s="9" t="str">
        <f t="shared" si="8"/>
        <v>01 MASTER REQUEST - SLAVE POLL</v>
      </c>
      <c r="B145" t="s">
        <v>18</v>
      </c>
      <c r="C145" s="7" t="str">
        <f t="shared" si="9"/>
        <v>10</v>
      </c>
      <c r="D145" s="8" t="s">
        <v>109</v>
      </c>
      <c r="E145" s="7" t="str">
        <f t="shared" si="10"/>
        <v>31</v>
      </c>
    </row>
    <row r="146" spans="1:5" x14ac:dyDescent="0.25">
      <c r="A146" s="9" t="str">
        <f t="shared" si="8"/>
        <v>90 TIME- TRACK: 45, 01:41, DISC: 1</v>
      </c>
      <c r="B146" t="s">
        <v>103</v>
      </c>
      <c r="C146" s="7" t="str">
        <f t="shared" si="9"/>
        <v>31</v>
      </c>
      <c r="D146" s="8" t="s">
        <v>109</v>
      </c>
      <c r="E146" s="7" t="str">
        <f t="shared" si="10"/>
        <v>70</v>
      </c>
    </row>
    <row r="147" spans="1:5" x14ac:dyDescent="0.25">
      <c r="A147" s="9" t="str">
        <f t="shared" si="8"/>
        <v>01 MASTER REQUEST - SLAVE POLL</v>
      </c>
      <c r="B147" t="s">
        <v>18</v>
      </c>
      <c r="C147" s="7" t="str">
        <f t="shared" si="9"/>
        <v>10</v>
      </c>
      <c r="D147" s="8" t="s">
        <v>109</v>
      </c>
      <c r="E147" s="7" t="str">
        <f t="shared" si="10"/>
        <v>31</v>
      </c>
    </row>
    <row r="148" spans="1:5" x14ac:dyDescent="0.25">
      <c r="A148" s="9" t="str">
        <f t="shared" si="8"/>
        <v>00 STATUS - PLAYING</v>
      </c>
      <c r="B148" t="s">
        <v>25</v>
      </c>
      <c r="C148" s="7" t="str">
        <f t="shared" si="9"/>
        <v>31</v>
      </c>
      <c r="D148" s="8" t="s">
        <v>109</v>
      </c>
      <c r="E148" s="7" t="str">
        <f t="shared" si="10"/>
        <v>10</v>
      </c>
    </row>
    <row r="149" spans="1:5" x14ac:dyDescent="0.25">
      <c r="A149" s="9" t="str">
        <f t="shared" si="8"/>
        <v>84 REQUEST MORE TEXT FIELDS - SEND MAGAZINE INFO</v>
      </c>
      <c r="B149" t="s">
        <v>14</v>
      </c>
      <c r="C149" s="7" t="str">
        <f t="shared" si="9"/>
        <v>10</v>
      </c>
      <c r="D149" s="8" t="s">
        <v>109</v>
      </c>
      <c r="E149" s="7" t="str">
        <f t="shared" si="10"/>
        <v>31</v>
      </c>
    </row>
    <row r="150" spans="1:5" x14ac:dyDescent="0.25">
      <c r="A150" s="9" t="str">
        <f t="shared" si="8"/>
        <v>01 MASTER REQUEST - TIME POLL</v>
      </c>
      <c r="B150" t="s">
        <v>15</v>
      </c>
      <c r="C150" s="7" t="str">
        <f t="shared" si="9"/>
        <v>10</v>
      </c>
      <c r="D150" s="8" t="s">
        <v>109</v>
      </c>
      <c r="E150" s="7" t="str">
        <f t="shared" si="10"/>
        <v>31</v>
      </c>
    </row>
    <row r="151" spans="1:5" x14ac:dyDescent="0.25">
      <c r="A151" s="9" t="str">
        <f t="shared" si="8"/>
        <v>00 STATUS - PLAYING</v>
      </c>
      <c r="B151" t="s">
        <v>25</v>
      </c>
      <c r="C151" s="7" t="str">
        <f t="shared" si="9"/>
        <v>31</v>
      </c>
      <c r="D151" s="8" t="s">
        <v>109</v>
      </c>
      <c r="E151" s="7" t="str">
        <f t="shared" si="10"/>
        <v>10</v>
      </c>
    </row>
    <row r="152" spans="1:5" x14ac:dyDescent="0.25">
      <c r="A152" s="9" t="str">
        <f t="shared" si="8"/>
        <v>84 REQUEST MORE TEXT FIELDS - SEND DISC INFO</v>
      </c>
      <c r="B152" t="s">
        <v>17</v>
      </c>
      <c r="C152" s="7" t="str">
        <f t="shared" si="9"/>
        <v>10</v>
      </c>
      <c r="D152" s="8" t="s">
        <v>109</v>
      </c>
      <c r="E152" s="7" t="str">
        <f t="shared" si="10"/>
        <v>31</v>
      </c>
    </row>
    <row r="153" spans="1:5" x14ac:dyDescent="0.25">
      <c r="A153" s="9" t="str">
        <f t="shared" si="8"/>
        <v>01 MASTER REQUEST - SLAVE POLL</v>
      </c>
      <c r="B153" t="s">
        <v>18</v>
      </c>
      <c r="C153" s="7" t="str">
        <f t="shared" si="9"/>
        <v>10</v>
      </c>
      <c r="D153" s="8" t="s">
        <v>109</v>
      </c>
      <c r="E153" s="7" t="str">
        <f t="shared" si="10"/>
        <v>31</v>
      </c>
    </row>
    <row r="154" spans="1:5" x14ac:dyDescent="0.25">
      <c r="A154" s="9" t="str">
        <f t="shared" si="8"/>
        <v>95 MAGAZINE INFO - CD1 YES, CD2 YES, CD3 NO, CD4 NO, CD5 NO, CD6 NO</v>
      </c>
      <c r="B154" t="s">
        <v>21</v>
      </c>
      <c r="C154" s="7" t="str">
        <f t="shared" si="9"/>
        <v>31</v>
      </c>
      <c r="D154" s="8" t="s">
        <v>109</v>
      </c>
      <c r="E154" s="7" t="str">
        <f t="shared" si="10"/>
        <v>10</v>
      </c>
    </row>
    <row r="155" spans="1:5" x14ac:dyDescent="0.25">
      <c r="A155" s="9" t="str">
        <f t="shared" si="8"/>
        <v>01 MASTER REQUEST - SLAVE POLL</v>
      </c>
      <c r="B155" t="s">
        <v>18</v>
      </c>
      <c r="C155" s="7" t="str">
        <f t="shared" si="9"/>
        <v>10</v>
      </c>
      <c r="D155" s="8" t="s">
        <v>109</v>
      </c>
      <c r="E155" s="7" t="str">
        <f t="shared" si="10"/>
        <v>31</v>
      </c>
    </row>
    <row r="156" spans="1:5" x14ac:dyDescent="0.25">
      <c r="A156" s="9" t="str">
        <f t="shared" si="8"/>
        <v>97 DISC INFO - TRACKS: 77, MINS: 88, SECS: 00, DISC: 1</v>
      </c>
      <c r="B156" t="s">
        <v>22</v>
      </c>
      <c r="C156" s="7" t="str">
        <f t="shared" si="9"/>
        <v>31</v>
      </c>
      <c r="D156" s="8" t="s">
        <v>109</v>
      </c>
      <c r="E156" s="7" t="str">
        <f t="shared" si="10"/>
        <v>10</v>
      </c>
    </row>
    <row r="157" spans="1:5" x14ac:dyDescent="0.25">
      <c r="A157" s="9" t="str">
        <f t="shared" si="8"/>
        <v>01 MASTER REQUEST - SLAVE POLL</v>
      </c>
      <c r="B157" t="s">
        <v>18</v>
      </c>
      <c r="C157" s="7" t="str">
        <f t="shared" si="9"/>
        <v>10</v>
      </c>
      <c r="D157" s="8" t="s">
        <v>109</v>
      </c>
      <c r="E157" s="7" t="str">
        <f t="shared" si="10"/>
        <v>31</v>
      </c>
    </row>
    <row r="158" spans="1:5" x14ac:dyDescent="0.25">
      <c r="A158" s="9" t="str">
        <f t="shared" si="8"/>
        <v>90 TIME- TRACK: 40, 01:46, DISC: 1</v>
      </c>
      <c r="B158" t="s">
        <v>33</v>
      </c>
      <c r="C158" s="7" t="str">
        <f t="shared" si="9"/>
        <v>31</v>
      </c>
      <c r="D158" s="8" t="s">
        <v>109</v>
      </c>
      <c r="E158" s="7" t="str">
        <f t="shared" si="10"/>
        <v>70</v>
      </c>
    </row>
    <row r="159" spans="1:5" x14ac:dyDescent="0.25">
      <c r="A159" s="9" t="str">
        <f t="shared" si="8"/>
        <v>01 MASTER REQUEST - SLAVE POLL</v>
      </c>
      <c r="B159" t="s">
        <v>18</v>
      </c>
      <c r="C159" s="7" t="str">
        <f t="shared" si="9"/>
        <v>10</v>
      </c>
      <c r="D159" s="8" t="s">
        <v>109</v>
      </c>
      <c r="E159" s="7" t="str">
        <f t="shared" si="10"/>
        <v>31</v>
      </c>
    </row>
    <row r="160" spans="1:5" x14ac:dyDescent="0.25">
      <c r="A160" s="9" t="str">
        <f t="shared" si="8"/>
        <v>00 STATUS - PLAYING</v>
      </c>
      <c r="B160" t="s">
        <v>25</v>
      </c>
      <c r="C160" s="7" t="str">
        <f t="shared" si="9"/>
        <v>31</v>
      </c>
      <c r="D160" s="8" t="s">
        <v>109</v>
      </c>
      <c r="E160" s="7" t="str">
        <f t="shared" si="10"/>
        <v>10</v>
      </c>
    </row>
    <row r="161" spans="2:2" x14ac:dyDescent="0.25">
      <c r="B161" s="1"/>
    </row>
    <row r="162" spans="2:2" x14ac:dyDescent="0.25">
      <c r="B162" s="1"/>
    </row>
    <row r="163" spans="2:2" x14ac:dyDescent="0.25">
      <c r="B163" s="1"/>
    </row>
    <row r="164" spans="2:2" x14ac:dyDescent="0.25">
      <c r="B164" s="1"/>
    </row>
    <row r="165" spans="2:2" x14ac:dyDescent="0.25">
      <c r="B165" s="1"/>
    </row>
    <row r="166" spans="2:2" x14ac:dyDescent="0.25">
      <c r="B166" s="1"/>
    </row>
    <row r="167" spans="2:2" x14ac:dyDescent="0.25">
      <c r="B167" s="1"/>
    </row>
    <row r="168" spans="2:2" x14ac:dyDescent="0.25">
      <c r="B168" s="1"/>
    </row>
    <row r="169" spans="2:2" x14ac:dyDescent="0.25">
      <c r="B169" s="1"/>
    </row>
    <row r="170" spans="2:2" x14ac:dyDescent="0.25">
      <c r="B170" s="1"/>
    </row>
    <row r="171" spans="2:2" x14ac:dyDescent="0.25">
      <c r="B171" s="1"/>
    </row>
    <row r="172" spans="2:2" x14ac:dyDescent="0.25">
      <c r="B172" s="1"/>
    </row>
    <row r="173" spans="2:2" x14ac:dyDescent="0.25">
      <c r="B173" s="1"/>
    </row>
    <row r="174" spans="2:2" x14ac:dyDescent="0.25">
      <c r="B174" s="1"/>
    </row>
    <row r="175" spans="2:2" x14ac:dyDescent="0.25">
      <c r="B175" s="1"/>
    </row>
    <row r="176" spans="2:2" x14ac:dyDescent="0.25">
      <c r="B176" s="1"/>
    </row>
    <row r="177" spans="2:2" x14ac:dyDescent="0.25">
      <c r="B177" s="1"/>
    </row>
    <row r="178" spans="2:2" x14ac:dyDescent="0.25">
      <c r="B178" s="1"/>
    </row>
    <row r="179" spans="2:2" x14ac:dyDescent="0.25">
      <c r="B179" s="1"/>
    </row>
    <row r="180" spans="2:2" x14ac:dyDescent="0.25">
      <c r="B180" s="1"/>
    </row>
    <row r="181" spans="2:2" x14ac:dyDescent="0.25">
      <c r="B181" s="1"/>
    </row>
    <row r="182" spans="2:2" x14ac:dyDescent="0.25">
      <c r="B182" s="1"/>
    </row>
    <row r="183" spans="2:2" x14ac:dyDescent="0.25">
      <c r="B183" s="1"/>
    </row>
    <row r="184" spans="2:2" x14ac:dyDescent="0.25">
      <c r="B184" s="1"/>
    </row>
    <row r="185" spans="2:2" x14ac:dyDescent="0.25">
      <c r="B185" s="1"/>
    </row>
    <row r="186" spans="2:2" x14ac:dyDescent="0.25">
      <c r="B186" s="1"/>
    </row>
    <row r="187" spans="2:2" x14ac:dyDescent="0.25">
      <c r="B187" s="1"/>
    </row>
    <row r="188" spans="2:2" x14ac:dyDescent="0.25">
      <c r="B188" s="1"/>
    </row>
    <row r="189" spans="2:2" x14ac:dyDescent="0.25">
      <c r="B189" s="1"/>
    </row>
    <row r="190" spans="2:2" x14ac:dyDescent="0.25">
      <c r="B190" s="1"/>
    </row>
    <row r="191" spans="2:2" x14ac:dyDescent="0.25">
      <c r="B191" s="1"/>
    </row>
    <row r="192" spans="2:2" x14ac:dyDescent="0.25">
      <c r="B192" s="1"/>
    </row>
    <row r="193" spans="2:2" x14ac:dyDescent="0.25">
      <c r="B193" s="1"/>
    </row>
    <row r="194" spans="2:2" x14ac:dyDescent="0.25">
      <c r="B194" s="1"/>
    </row>
    <row r="195" spans="2:2" x14ac:dyDescent="0.25">
      <c r="B195" s="1"/>
    </row>
    <row r="196" spans="2:2" x14ac:dyDescent="0.25">
      <c r="B196" s="1"/>
    </row>
    <row r="197" spans="2:2" x14ac:dyDescent="0.25">
      <c r="B197" s="1"/>
    </row>
    <row r="198" spans="2:2" x14ac:dyDescent="0.25">
      <c r="B198" s="1"/>
    </row>
    <row r="199" spans="2:2" x14ac:dyDescent="0.25">
      <c r="B199" s="1"/>
    </row>
    <row r="200" spans="2:2" x14ac:dyDescent="0.25">
      <c r="B200" s="1"/>
    </row>
    <row r="201" spans="2:2" x14ac:dyDescent="0.25">
      <c r="B201" s="1"/>
    </row>
    <row r="202" spans="2:2" x14ac:dyDescent="0.25">
      <c r="B202" s="1"/>
    </row>
    <row r="203" spans="2:2" x14ac:dyDescent="0.25">
      <c r="B203" s="1"/>
    </row>
    <row r="204" spans="2:2" x14ac:dyDescent="0.25">
      <c r="B204" s="1"/>
    </row>
    <row r="205" spans="2:2" x14ac:dyDescent="0.25">
      <c r="B205" s="1"/>
    </row>
    <row r="206" spans="2:2" x14ac:dyDescent="0.25">
      <c r="B206" s="1"/>
    </row>
    <row r="207" spans="2:2" x14ac:dyDescent="0.25">
      <c r="B207" s="1"/>
    </row>
    <row r="208" spans="2:2" x14ac:dyDescent="0.25">
      <c r="B208" s="1"/>
    </row>
    <row r="209" spans="2:2" x14ac:dyDescent="0.25">
      <c r="B209" s="1"/>
    </row>
    <row r="210" spans="2:2" x14ac:dyDescent="0.25">
      <c r="B210" s="1"/>
    </row>
    <row r="211" spans="2:2" x14ac:dyDescent="0.25">
      <c r="B211" s="1"/>
    </row>
    <row r="212" spans="2:2" x14ac:dyDescent="0.25">
      <c r="B212" s="1"/>
    </row>
    <row r="213" spans="2:2" x14ac:dyDescent="0.25">
      <c r="B213" s="1"/>
    </row>
    <row r="214" spans="2:2" x14ac:dyDescent="0.25">
      <c r="B214" s="1"/>
    </row>
    <row r="215" spans="2:2" x14ac:dyDescent="0.25">
      <c r="B215" s="1"/>
    </row>
    <row r="216" spans="2:2" x14ac:dyDescent="0.25">
      <c r="B216" s="1"/>
    </row>
    <row r="217" spans="2:2" x14ac:dyDescent="0.25">
      <c r="B217" s="1"/>
    </row>
    <row r="218" spans="2:2" x14ac:dyDescent="0.25">
      <c r="B218" s="1"/>
    </row>
    <row r="219" spans="2:2" x14ac:dyDescent="0.25">
      <c r="B219" s="1"/>
    </row>
    <row r="220" spans="2:2" x14ac:dyDescent="0.25">
      <c r="B220" s="1"/>
    </row>
    <row r="221" spans="2:2" x14ac:dyDescent="0.25">
      <c r="B221" s="1"/>
    </row>
    <row r="222" spans="2:2" x14ac:dyDescent="0.25">
      <c r="B222" s="1"/>
    </row>
    <row r="223" spans="2:2" x14ac:dyDescent="0.25">
      <c r="B223" s="1"/>
    </row>
    <row r="224" spans="2:2" x14ac:dyDescent="0.25">
      <c r="B224" s="1"/>
    </row>
    <row r="225" spans="2:2" x14ac:dyDescent="0.25">
      <c r="B225" s="1"/>
    </row>
    <row r="226" spans="2:2" x14ac:dyDescent="0.25">
      <c r="B226" s="1"/>
    </row>
    <row r="227" spans="2:2" x14ac:dyDescent="0.25">
      <c r="B227" s="1"/>
    </row>
    <row r="228" spans="2:2" x14ac:dyDescent="0.25">
      <c r="B228" s="1"/>
    </row>
    <row r="229" spans="2:2" x14ac:dyDescent="0.25">
      <c r="B229" s="1"/>
    </row>
    <row r="230" spans="2:2" x14ac:dyDescent="0.25">
      <c r="B230" s="1"/>
    </row>
    <row r="231" spans="2:2" x14ac:dyDescent="0.25">
      <c r="B231" s="1"/>
    </row>
    <row r="232" spans="2:2" x14ac:dyDescent="0.25">
      <c r="B232" s="1"/>
    </row>
    <row r="233" spans="2:2" x14ac:dyDescent="0.25">
      <c r="B233" s="1"/>
    </row>
    <row r="234" spans="2:2" x14ac:dyDescent="0.25">
      <c r="B234" s="1"/>
    </row>
    <row r="235" spans="2:2" x14ac:dyDescent="0.25">
      <c r="B235" s="1"/>
    </row>
    <row r="236" spans="2:2" x14ac:dyDescent="0.25">
      <c r="B236" s="1"/>
    </row>
    <row r="237" spans="2:2" x14ac:dyDescent="0.25">
      <c r="B237" s="1"/>
    </row>
    <row r="238" spans="2:2" x14ac:dyDescent="0.25">
      <c r="B238" s="1"/>
    </row>
    <row r="239" spans="2:2" x14ac:dyDescent="0.25">
      <c r="B239" s="1"/>
    </row>
    <row r="240" spans="2:2" x14ac:dyDescent="0.25">
      <c r="B240" s="1"/>
    </row>
    <row r="241" spans="2:2" x14ac:dyDescent="0.25">
      <c r="B241" s="1"/>
    </row>
    <row r="242" spans="2:2" x14ac:dyDescent="0.25">
      <c r="B242" s="1"/>
    </row>
    <row r="243" spans="2:2" x14ac:dyDescent="0.25">
      <c r="B243" s="1"/>
    </row>
    <row r="244" spans="2:2" x14ac:dyDescent="0.25">
      <c r="B244" s="1"/>
    </row>
    <row r="245" spans="2:2" x14ac:dyDescent="0.25">
      <c r="B245" s="1"/>
    </row>
    <row r="246" spans="2:2" x14ac:dyDescent="0.25">
      <c r="B246" s="1"/>
    </row>
    <row r="247" spans="2:2" x14ac:dyDescent="0.25">
      <c r="B247" s="1"/>
    </row>
    <row r="248" spans="2:2" x14ac:dyDescent="0.25">
      <c r="B248" s="1"/>
    </row>
    <row r="249" spans="2:2" x14ac:dyDescent="0.25">
      <c r="B249" s="1"/>
    </row>
    <row r="250" spans="2:2" x14ac:dyDescent="0.25">
      <c r="B250" s="1"/>
    </row>
    <row r="251" spans="2:2" x14ac:dyDescent="0.25">
      <c r="B251" s="1"/>
    </row>
    <row r="252" spans="2:2" x14ac:dyDescent="0.25">
      <c r="B252" s="1"/>
    </row>
    <row r="253" spans="2:2" x14ac:dyDescent="0.25">
      <c r="B253" s="1"/>
    </row>
    <row r="254" spans="2:2" x14ac:dyDescent="0.25">
      <c r="B254" s="1"/>
    </row>
    <row r="255" spans="2:2" x14ac:dyDescent="0.25">
      <c r="B255" s="1"/>
    </row>
    <row r="256" spans="2:2" x14ac:dyDescent="0.25">
      <c r="B256" s="1"/>
    </row>
    <row r="257" spans="2:2" x14ac:dyDescent="0.25">
      <c r="B257" s="1"/>
    </row>
    <row r="258" spans="2:2" x14ac:dyDescent="0.25">
      <c r="B258" s="1"/>
    </row>
    <row r="259" spans="2:2" x14ac:dyDescent="0.25">
      <c r="B259" s="1"/>
    </row>
    <row r="260" spans="2:2" x14ac:dyDescent="0.25">
      <c r="B260" s="1"/>
    </row>
    <row r="261" spans="2:2" x14ac:dyDescent="0.25">
      <c r="B261" s="1"/>
    </row>
    <row r="262" spans="2:2" x14ac:dyDescent="0.25">
      <c r="B262" s="1"/>
    </row>
    <row r="263" spans="2:2" x14ac:dyDescent="0.25">
      <c r="B263" s="1"/>
    </row>
    <row r="264" spans="2:2" x14ac:dyDescent="0.25">
      <c r="B264" s="1"/>
    </row>
    <row r="265" spans="2:2" x14ac:dyDescent="0.25">
      <c r="B265" s="1"/>
    </row>
    <row r="266" spans="2:2" x14ac:dyDescent="0.25">
      <c r="B266" s="1"/>
    </row>
    <row r="267" spans="2:2" x14ac:dyDescent="0.25">
      <c r="B267" s="1"/>
    </row>
    <row r="268" spans="2:2" x14ac:dyDescent="0.25">
      <c r="B268" s="1"/>
    </row>
    <row r="269" spans="2:2" x14ac:dyDescent="0.25">
      <c r="B269" s="1"/>
    </row>
    <row r="270" spans="2:2" x14ac:dyDescent="0.25">
      <c r="B270" s="1"/>
    </row>
    <row r="271" spans="2:2" x14ac:dyDescent="0.25">
      <c r="B271" s="1"/>
    </row>
    <row r="272" spans="2:2" x14ac:dyDescent="0.25">
      <c r="B272" s="1"/>
    </row>
    <row r="273" spans="2:2" x14ac:dyDescent="0.25">
      <c r="B273" s="1"/>
    </row>
    <row r="274" spans="2:2" x14ac:dyDescent="0.25">
      <c r="B274" s="1"/>
    </row>
    <row r="275" spans="2:2" x14ac:dyDescent="0.25">
      <c r="B275" s="1"/>
    </row>
    <row r="276" spans="2:2" x14ac:dyDescent="0.25">
      <c r="B276" s="1"/>
    </row>
    <row r="277" spans="2:2" x14ac:dyDescent="0.25">
      <c r="B277" s="1"/>
    </row>
    <row r="278" spans="2:2" x14ac:dyDescent="0.25">
      <c r="B278" s="1"/>
    </row>
    <row r="279" spans="2:2" x14ac:dyDescent="0.25">
      <c r="B279" s="1"/>
    </row>
    <row r="280" spans="2:2" x14ac:dyDescent="0.25">
      <c r="B280" s="1"/>
    </row>
    <row r="281" spans="2:2" x14ac:dyDescent="0.25">
      <c r="B281" s="1"/>
    </row>
    <row r="282" spans="2:2" x14ac:dyDescent="0.25">
      <c r="B282" s="1"/>
    </row>
    <row r="283" spans="2:2" x14ac:dyDescent="0.25">
      <c r="B283" s="1"/>
    </row>
    <row r="284" spans="2:2" x14ac:dyDescent="0.25">
      <c r="B284" s="1"/>
    </row>
    <row r="285" spans="2:2" x14ac:dyDescent="0.25">
      <c r="B285" s="1"/>
    </row>
    <row r="286" spans="2:2" x14ac:dyDescent="0.25">
      <c r="B286" s="1"/>
    </row>
    <row r="287" spans="2:2" x14ac:dyDescent="0.25">
      <c r="B287" s="1"/>
    </row>
    <row r="288" spans="2:2" x14ac:dyDescent="0.25">
      <c r="B288" s="1"/>
    </row>
    <row r="289" spans="2:2" x14ac:dyDescent="0.25">
      <c r="B289" s="1"/>
    </row>
    <row r="290" spans="2:2" x14ac:dyDescent="0.25">
      <c r="B290" s="1"/>
    </row>
    <row r="291" spans="2:2" x14ac:dyDescent="0.25">
      <c r="B291" s="1"/>
    </row>
    <row r="292" spans="2:2" x14ac:dyDescent="0.25">
      <c r="B292" s="1"/>
    </row>
    <row r="293" spans="2:2" x14ac:dyDescent="0.25">
      <c r="B293" s="1"/>
    </row>
    <row r="294" spans="2:2" x14ac:dyDescent="0.25">
      <c r="B294" s="1"/>
    </row>
    <row r="295" spans="2:2" x14ac:dyDescent="0.25">
      <c r="B295" s="1"/>
    </row>
    <row r="296" spans="2:2" x14ac:dyDescent="0.25">
      <c r="B296" s="1"/>
    </row>
    <row r="297" spans="2:2" x14ac:dyDescent="0.25">
      <c r="B297" s="1"/>
    </row>
    <row r="298" spans="2:2" x14ac:dyDescent="0.25">
      <c r="B298" s="1"/>
    </row>
    <row r="299" spans="2:2" x14ac:dyDescent="0.25">
      <c r="B299" s="1"/>
    </row>
    <row r="300" spans="2:2" x14ac:dyDescent="0.25">
      <c r="B300" s="1"/>
    </row>
    <row r="301" spans="2:2" x14ac:dyDescent="0.25">
      <c r="B301" s="1"/>
    </row>
    <row r="302" spans="2:2" x14ac:dyDescent="0.25">
      <c r="B302" s="1"/>
    </row>
    <row r="303" spans="2:2" x14ac:dyDescent="0.25">
      <c r="B303" s="1"/>
    </row>
    <row r="304" spans="2:2" x14ac:dyDescent="0.25">
      <c r="B304" s="1"/>
    </row>
    <row r="305" spans="2:2" x14ac:dyDescent="0.25">
      <c r="B305" s="1"/>
    </row>
    <row r="306" spans="2:2" x14ac:dyDescent="0.25">
      <c r="B306" s="1"/>
    </row>
    <row r="307" spans="2:2" x14ac:dyDescent="0.25">
      <c r="B307" s="1"/>
    </row>
    <row r="308" spans="2:2" x14ac:dyDescent="0.25">
      <c r="B308" s="1"/>
    </row>
    <row r="309" spans="2:2" x14ac:dyDescent="0.25">
      <c r="B309" s="1"/>
    </row>
    <row r="310" spans="2:2" x14ac:dyDescent="0.25">
      <c r="B310" s="1"/>
    </row>
    <row r="311" spans="2:2" x14ac:dyDescent="0.25">
      <c r="B311" s="1"/>
    </row>
    <row r="312" spans="2:2" x14ac:dyDescent="0.25">
      <c r="B312" s="1"/>
    </row>
    <row r="313" spans="2:2" x14ac:dyDescent="0.25">
      <c r="B313" s="1"/>
    </row>
    <row r="314" spans="2:2" x14ac:dyDescent="0.25">
      <c r="B314" s="1"/>
    </row>
    <row r="315" spans="2:2" x14ac:dyDescent="0.25">
      <c r="B315" s="1"/>
    </row>
    <row r="316" spans="2:2" x14ac:dyDescent="0.25">
      <c r="B316" s="1"/>
    </row>
    <row r="317" spans="2:2" x14ac:dyDescent="0.25">
      <c r="B317" s="1"/>
    </row>
    <row r="318" spans="2:2" x14ac:dyDescent="0.25">
      <c r="B318" s="1"/>
    </row>
    <row r="319" spans="2:2" x14ac:dyDescent="0.25">
      <c r="B319" s="1"/>
    </row>
    <row r="320" spans="2:2" x14ac:dyDescent="0.25">
      <c r="B320" s="1"/>
    </row>
    <row r="321" spans="2:2" x14ac:dyDescent="0.25">
      <c r="B321" s="1"/>
    </row>
    <row r="322" spans="2:2" x14ac:dyDescent="0.25">
      <c r="B322" s="1"/>
    </row>
    <row r="323" spans="2:2" x14ac:dyDescent="0.25">
      <c r="B323" s="1"/>
    </row>
    <row r="324" spans="2:2" x14ac:dyDescent="0.25">
      <c r="B324" s="1"/>
    </row>
    <row r="325" spans="2:2" x14ac:dyDescent="0.25">
      <c r="B325" s="1"/>
    </row>
    <row r="326" spans="2:2" x14ac:dyDescent="0.25">
      <c r="B326" s="1"/>
    </row>
    <row r="327" spans="2:2" x14ac:dyDescent="0.25">
      <c r="B327" s="1"/>
    </row>
    <row r="328" spans="2:2" x14ac:dyDescent="0.25">
      <c r="B328" s="1"/>
    </row>
    <row r="329" spans="2:2" x14ac:dyDescent="0.25">
      <c r="B329" s="1"/>
    </row>
    <row r="330" spans="2:2" x14ac:dyDescent="0.25">
      <c r="B330" s="1"/>
    </row>
    <row r="331" spans="2:2" x14ac:dyDescent="0.25">
      <c r="B331" s="1"/>
    </row>
    <row r="332" spans="2:2" x14ac:dyDescent="0.25">
      <c r="B332" s="1"/>
    </row>
    <row r="333" spans="2:2" x14ac:dyDescent="0.25">
      <c r="B333" s="1"/>
    </row>
    <row r="334" spans="2:2" x14ac:dyDescent="0.25">
      <c r="B334" s="1"/>
    </row>
    <row r="335" spans="2:2" x14ac:dyDescent="0.25">
      <c r="B335" s="1"/>
    </row>
    <row r="336" spans="2:2" x14ac:dyDescent="0.25">
      <c r="B336" s="1"/>
    </row>
    <row r="337" spans="2:2" x14ac:dyDescent="0.25">
      <c r="B337" s="1"/>
    </row>
    <row r="338" spans="2:2" x14ac:dyDescent="0.25">
      <c r="B338" s="1"/>
    </row>
    <row r="339" spans="2:2" x14ac:dyDescent="0.25">
      <c r="B339" s="1"/>
    </row>
    <row r="340" spans="2:2" x14ac:dyDescent="0.25">
      <c r="B340" s="1"/>
    </row>
    <row r="341" spans="2:2" x14ac:dyDescent="0.25">
      <c r="B341" s="1"/>
    </row>
    <row r="342" spans="2:2" x14ac:dyDescent="0.25">
      <c r="B342" s="1"/>
    </row>
    <row r="343" spans="2:2" x14ac:dyDescent="0.25">
      <c r="B343" s="1"/>
    </row>
    <row r="344" spans="2:2" x14ac:dyDescent="0.25">
      <c r="B344" s="1"/>
    </row>
    <row r="345" spans="2:2" x14ac:dyDescent="0.25">
      <c r="B345" s="1"/>
    </row>
    <row r="346" spans="2:2" x14ac:dyDescent="0.25">
      <c r="B346" s="1"/>
    </row>
    <row r="347" spans="2:2" x14ac:dyDescent="0.25">
      <c r="B347" s="1"/>
    </row>
    <row r="348" spans="2:2" x14ac:dyDescent="0.25">
      <c r="B348" s="1"/>
    </row>
    <row r="349" spans="2:2" x14ac:dyDescent="0.25">
      <c r="B349" s="1"/>
    </row>
    <row r="350" spans="2:2" x14ac:dyDescent="0.25">
      <c r="B350" s="1"/>
    </row>
    <row r="351" spans="2:2" x14ac:dyDescent="0.25">
      <c r="B351" s="1"/>
    </row>
    <row r="352" spans="2:2" x14ac:dyDescent="0.25">
      <c r="B352" s="1"/>
    </row>
    <row r="353" spans="2:2" x14ac:dyDescent="0.25">
      <c r="B353" s="1"/>
    </row>
    <row r="354" spans="2:2" x14ac:dyDescent="0.25">
      <c r="B354" s="1"/>
    </row>
    <row r="355" spans="2:2" x14ac:dyDescent="0.25">
      <c r="B355" s="1"/>
    </row>
    <row r="356" spans="2:2" x14ac:dyDescent="0.25">
      <c r="B356" s="1"/>
    </row>
    <row r="357" spans="2:2" x14ac:dyDescent="0.25">
      <c r="B357" s="1"/>
    </row>
    <row r="358" spans="2:2" x14ac:dyDescent="0.25">
      <c r="B358" s="1"/>
    </row>
    <row r="359" spans="2:2" x14ac:dyDescent="0.25">
      <c r="B359" s="1"/>
    </row>
    <row r="360" spans="2:2" x14ac:dyDescent="0.25">
      <c r="B360" s="1"/>
    </row>
    <row r="361" spans="2:2" x14ac:dyDescent="0.25">
      <c r="B361" s="1"/>
    </row>
    <row r="362" spans="2:2" x14ac:dyDescent="0.25">
      <c r="B362" s="1"/>
    </row>
    <row r="363" spans="2:2" x14ac:dyDescent="0.25">
      <c r="B363" s="1"/>
    </row>
    <row r="364" spans="2:2" x14ac:dyDescent="0.25">
      <c r="B364" s="1"/>
    </row>
    <row r="365" spans="2:2" x14ac:dyDescent="0.25">
      <c r="B365" s="1"/>
    </row>
    <row r="366" spans="2:2" x14ac:dyDescent="0.25">
      <c r="B366" s="1"/>
    </row>
    <row r="367" spans="2:2" x14ac:dyDescent="0.25">
      <c r="B367" s="1"/>
    </row>
    <row r="368" spans="2:2" x14ac:dyDescent="0.25">
      <c r="B368" s="1"/>
    </row>
    <row r="369" spans="2:2" x14ac:dyDescent="0.25">
      <c r="B369" s="1"/>
    </row>
    <row r="370" spans="2:2" x14ac:dyDescent="0.25">
      <c r="B370" s="1"/>
    </row>
    <row r="371" spans="2:2" x14ac:dyDescent="0.25">
      <c r="B371" s="1"/>
    </row>
    <row r="372" spans="2:2" x14ac:dyDescent="0.25">
      <c r="B372" s="1"/>
    </row>
    <row r="373" spans="2:2" x14ac:dyDescent="0.25">
      <c r="B373" s="1"/>
    </row>
    <row r="374" spans="2:2" x14ac:dyDescent="0.25">
      <c r="B374" s="1"/>
    </row>
    <row r="375" spans="2:2" x14ac:dyDescent="0.25">
      <c r="B375" s="1"/>
    </row>
    <row r="376" spans="2:2" x14ac:dyDescent="0.25">
      <c r="B376" s="1"/>
    </row>
    <row r="377" spans="2:2" x14ac:dyDescent="0.25">
      <c r="B377" s="1"/>
    </row>
    <row r="378" spans="2:2" x14ac:dyDescent="0.25">
      <c r="B378" s="1"/>
    </row>
    <row r="379" spans="2:2" x14ac:dyDescent="0.25">
      <c r="B379" s="1"/>
    </row>
    <row r="380" spans="2:2" x14ac:dyDescent="0.25">
      <c r="B380" s="1"/>
    </row>
    <row r="381" spans="2:2" x14ac:dyDescent="0.25">
      <c r="B381" s="1"/>
    </row>
    <row r="382" spans="2:2" x14ac:dyDescent="0.25">
      <c r="B382" s="1"/>
    </row>
    <row r="383" spans="2:2" x14ac:dyDescent="0.25">
      <c r="B383" s="1"/>
    </row>
    <row r="384" spans="2:2" x14ac:dyDescent="0.25">
      <c r="B384" s="1"/>
    </row>
    <row r="385" spans="2:2" x14ac:dyDescent="0.25">
      <c r="B385" s="1"/>
    </row>
    <row r="386" spans="2:2" x14ac:dyDescent="0.25">
      <c r="B386" s="1"/>
    </row>
    <row r="387" spans="2:2" x14ac:dyDescent="0.25">
      <c r="B387" s="1"/>
    </row>
    <row r="388" spans="2:2" x14ac:dyDescent="0.25">
      <c r="B388" s="1"/>
    </row>
    <row r="389" spans="2:2" x14ac:dyDescent="0.25">
      <c r="B389" s="1"/>
    </row>
    <row r="390" spans="2:2" x14ac:dyDescent="0.25">
      <c r="B390" s="1"/>
    </row>
    <row r="391" spans="2:2" x14ac:dyDescent="0.25">
      <c r="B391" s="1"/>
    </row>
    <row r="392" spans="2:2" x14ac:dyDescent="0.25">
      <c r="B392" s="1"/>
    </row>
    <row r="393" spans="2:2" x14ac:dyDescent="0.25">
      <c r="B393" s="1"/>
    </row>
    <row r="394" spans="2:2" x14ac:dyDescent="0.25">
      <c r="B394" s="1"/>
    </row>
    <row r="395" spans="2:2" x14ac:dyDescent="0.25">
      <c r="B395" s="1"/>
    </row>
    <row r="396" spans="2:2" x14ac:dyDescent="0.25">
      <c r="B396" s="1"/>
    </row>
    <row r="397" spans="2:2" x14ac:dyDescent="0.25">
      <c r="B397" s="1"/>
    </row>
    <row r="398" spans="2:2" x14ac:dyDescent="0.25">
      <c r="B398" s="1"/>
    </row>
    <row r="399" spans="2:2" x14ac:dyDescent="0.25">
      <c r="B399" s="1"/>
    </row>
    <row r="400" spans="2:2" x14ac:dyDescent="0.25">
      <c r="B400" s="1"/>
    </row>
    <row r="401" spans="2:2" x14ac:dyDescent="0.25">
      <c r="B401" s="1"/>
    </row>
    <row r="402" spans="2:2" x14ac:dyDescent="0.25">
      <c r="B402" s="1"/>
    </row>
    <row r="403" spans="2:2" x14ac:dyDescent="0.25">
      <c r="B403" s="1"/>
    </row>
    <row r="404" spans="2:2" x14ac:dyDescent="0.25">
      <c r="B404" s="1"/>
    </row>
    <row r="405" spans="2:2" x14ac:dyDescent="0.25">
      <c r="B405" s="1"/>
    </row>
    <row r="406" spans="2:2" x14ac:dyDescent="0.25">
      <c r="B406" s="1"/>
    </row>
    <row r="407" spans="2:2" x14ac:dyDescent="0.25">
      <c r="B407" s="1"/>
    </row>
    <row r="408" spans="2:2" x14ac:dyDescent="0.25">
      <c r="B408" s="1"/>
    </row>
    <row r="409" spans="2:2" x14ac:dyDescent="0.25">
      <c r="B409" s="1"/>
    </row>
    <row r="410" spans="2:2" x14ac:dyDescent="0.25">
      <c r="B410" s="1"/>
    </row>
    <row r="411" spans="2:2" x14ac:dyDescent="0.25">
      <c r="B411" s="1"/>
    </row>
    <row r="412" spans="2:2" x14ac:dyDescent="0.25">
      <c r="B412" s="1"/>
    </row>
    <row r="413" spans="2:2" x14ac:dyDescent="0.25">
      <c r="B413" s="1"/>
    </row>
    <row r="414" spans="2:2" x14ac:dyDescent="0.25">
      <c r="B414" s="1"/>
    </row>
    <row r="415" spans="2:2" x14ac:dyDescent="0.25">
      <c r="B415" s="1"/>
    </row>
    <row r="416" spans="2:2" x14ac:dyDescent="0.25">
      <c r="B416" s="1"/>
    </row>
    <row r="417" spans="2:2" x14ac:dyDescent="0.25">
      <c r="B417" s="1"/>
    </row>
    <row r="418" spans="2:2" x14ac:dyDescent="0.25">
      <c r="B418" s="1"/>
    </row>
    <row r="419" spans="2:2" x14ac:dyDescent="0.25">
      <c r="B419" s="1"/>
    </row>
    <row r="420" spans="2:2" x14ac:dyDescent="0.25">
      <c r="B420" s="1"/>
    </row>
    <row r="421" spans="2:2" x14ac:dyDescent="0.25">
      <c r="B421" s="1"/>
    </row>
    <row r="422" spans="2:2" x14ac:dyDescent="0.25">
      <c r="B422" s="1"/>
    </row>
    <row r="423" spans="2:2" x14ac:dyDescent="0.25">
      <c r="B423" s="1"/>
    </row>
    <row r="424" spans="2:2" x14ac:dyDescent="0.25">
      <c r="B424" s="1"/>
    </row>
    <row r="425" spans="2:2" x14ac:dyDescent="0.25">
      <c r="B425" s="1"/>
    </row>
    <row r="426" spans="2:2" x14ac:dyDescent="0.25">
      <c r="B426" s="1"/>
    </row>
    <row r="427" spans="2:2" x14ac:dyDescent="0.25">
      <c r="B427" s="1"/>
    </row>
    <row r="428" spans="2:2" x14ac:dyDescent="0.25">
      <c r="B428" s="1"/>
    </row>
    <row r="429" spans="2:2" x14ac:dyDescent="0.25">
      <c r="B429" s="1"/>
    </row>
    <row r="430" spans="2:2" x14ac:dyDescent="0.25">
      <c r="B430" s="1"/>
    </row>
    <row r="431" spans="2:2" x14ac:dyDescent="0.25">
      <c r="B431" s="1"/>
    </row>
    <row r="432" spans="2:2" x14ac:dyDescent="0.25">
      <c r="B432" s="1"/>
    </row>
    <row r="433" spans="2:2" x14ac:dyDescent="0.25">
      <c r="B433" s="1"/>
    </row>
    <row r="434" spans="2:2" x14ac:dyDescent="0.25">
      <c r="B434" s="1"/>
    </row>
    <row r="435" spans="2:2" x14ac:dyDescent="0.25">
      <c r="B435" s="1"/>
    </row>
    <row r="436" spans="2:2" x14ac:dyDescent="0.25">
      <c r="B436" s="1"/>
    </row>
    <row r="437" spans="2:2" x14ac:dyDescent="0.25">
      <c r="B437" s="1"/>
    </row>
    <row r="438" spans="2:2" x14ac:dyDescent="0.25">
      <c r="B438" s="1"/>
    </row>
    <row r="439" spans="2:2" x14ac:dyDescent="0.25">
      <c r="B439" s="1"/>
    </row>
    <row r="440" spans="2:2" x14ac:dyDescent="0.25">
      <c r="B440" s="1"/>
    </row>
    <row r="441" spans="2:2" x14ac:dyDescent="0.25">
      <c r="B441" s="1"/>
    </row>
    <row r="442" spans="2:2" x14ac:dyDescent="0.25">
      <c r="B442" s="1"/>
    </row>
    <row r="443" spans="2:2" x14ac:dyDescent="0.25">
      <c r="B443" s="1"/>
    </row>
    <row r="444" spans="2:2" x14ac:dyDescent="0.25">
      <c r="B444" s="1"/>
    </row>
    <row r="445" spans="2:2" x14ac:dyDescent="0.25">
      <c r="B445" s="1"/>
    </row>
    <row r="446" spans="2:2" x14ac:dyDescent="0.25">
      <c r="B446" s="1"/>
    </row>
    <row r="447" spans="2:2" x14ac:dyDescent="0.25">
      <c r="B447" s="1"/>
    </row>
    <row r="448" spans="2:2" x14ac:dyDescent="0.25">
      <c r="B448" s="1"/>
    </row>
    <row r="449" spans="2:2" x14ac:dyDescent="0.25">
      <c r="B449" s="1"/>
    </row>
    <row r="450" spans="2:2" x14ac:dyDescent="0.25">
      <c r="B450" s="1"/>
    </row>
    <row r="451" spans="2:2" x14ac:dyDescent="0.25">
      <c r="B451" s="1"/>
    </row>
    <row r="452" spans="2:2" x14ac:dyDescent="0.25">
      <c r="B452" s="1"/>
    </row>
    <row r="453" spans="2:2" x14ac:dyDescent="0.25">
      <c r="B453" s="1"/>
    </row>
    <row r="454" spans="2:2" x14ac:dyDescent="0.25">
      <c r="B454" s="1"/>
    </row>
    <row r="455" spans="2:2" x14ac:dyDescent="0.25">
      <c r="B455" s="1"/>
    </row>
    <row r="456" spans="2:2" x14ac:dyDescent="0.25">
      <c r="B456" s="1"/>
    </row>
    <row r="457" spans="2:2" x14ac:dyDescent="0.25">
      <c r="B457" s="1"/>
    </row>
    <row r="458" spans="2:2" x14ac:dyDescent="0.25">
      <c r="B458" s="1"/>
    </row>
    <row r="459" spans="2:2" x14ac:dyDescent="0.25">
      <c r="B459" s="1"/>
    </row>
    <row r="460" spans="2:2" x14ac:dyDescent="0.25">
      <c r="B460" s="1"/>
    </row>
    <row r="461" spans="2:2" x14ac:dyDescent="0.25">
      <c r="B461" s="1"/>
    </row>
    <row r="462" spans="2:2" x14ac:dyDescent="0.25">
      <c r="B462" s="1"/>
    </row>
    <row r="463" spans="2:2" x14ac:dyDescent="0.25">
      <c r="B463" s="1"/>
    </row>
    <row r="464" spans="2:2" x14ac:dyDescent="0.25">
      <c r="B464" s="1"/>
    </row>
    <row r="465" spans="2:2" x14ac:dyDescent="0.25">
      <c r="B465" s="1"/>
    </row>
    <row r="466" spans="2:2" x14ac:dyDescent="0.25">
      <c r="B466" s="1"/>
    </row>
    <row r="467" spans="2:2" x14ac:dyDescent="0.25">
      <c r="B467" s="1"/>
    </row>
    <row r="468" spans="2:2" x14ac:dyDescent="0.25">
      <c r="B468" s="1"/>
    </row>
    <row r="469" spans="2:2" x14ac:dyDescent="0.25">
      <c r="B469" s="1"/>
    </row>
    <row r="470" spans="2:2" x14ac:dyDescent="0.25">
      <c r="B470" s="1"/>
    </row>
    <row r="471" spans="2:2" x14ac:dyDescent="0.25">
      <c r="B471" s="1"/>
    </row>
    <row r="472" spans="2:2" x14ac:dyDescent="0.25">
      <c r="B472" s="1"/>
    </row>
    <row r="473" spans="2:2" x14ac:dyDescent="0.25">
      <c r="B473" s="1"/>
    </row>
    <row r="474" spans="2:2" x14ac:dyDescent="0.25">
      <c r="B474" s="1"/>
    </row>
    <row r="475" spans="2:2" x14ac:dyDescent="0.25">
      <c r="B475" s="1"/>
    </row>
    <row r="476" spans="2:2" x14ac:dyDescent="0.25">
      <c r="B476" s="1"/>
    </row>
    <row r="477" spans="2:2" x14ac:dyDescent="0.25">
      <c r="B477" s="1"/>
    </row>
    <row r="478" spans="2:2" x14ac:dyDescent="0.25">
      <c r="B478" s="1"/>
    </row>
    <row r="479" spans="2:2" x14ac:dyDescent="0.25">
      <c r="B479" s="1"/>
    </row>
    <row r="480" spans="2:2" x14ac:dyDescent="0.25">
      <c r="B480" s="1"/>
    </row>
    <row r="481" spans="2:2" x14ac:dyDescent="0.25">
      <c r="B481" s="1"/>
    </row>
    <row r="482" spans="2:2" x14ac:dyDescent="0.25">
      <c r="B482" s="1"/>
    </row>
    <row r="483" spans="2:2" x14ac:dyDescent="0.25">
      <c r="B483" s="1"/>
    </row>
    <row r="484" spans="2:2" x14ac:dyDescent="0.25">
      <c r="B484" s="1"/>
    </row>
    <row r="485" spans="2:2" x14ac:dyDescent="0.25">
      <c r="B485" s="1"/>
    </row>
    <row r="486" spans="2:2" x14ac:dyDescent="0.25">
      <c r="B486" s="1"/>
    </row>
    <row r="487" spans="2:2" x14ac:dyDescent="0.25">
      <c r="B487" s="1"/>
    </row>
    <row r="488" spans="2:2" x14ac:dyDescent="0.25">
      <c r="B488" s="1"/>
    </row>
    <row r="489" spans="2:2" x14ac:dyDescent="0.25">
      <c r="B489" s="1"/>
    </row>
    <row r="490" spans="2:2" x14ac:dyDescent="0.25">
      <c r="B490" s="1"/>
    </row>
    <row r="491" spans="2:2" x14ac:dyDescent="0.25">
      <c r="B491" s="1"/>
    </row>
    <row r="492" spans="2:2" x14ac:dyDescent="0.25">
      <c r="B492" s="1"/>
    </row>
    <row r="493" spans="2:2" x14ac:dyDescent="0.25">
      <c r="B493" s="1"/>
    </row>
    <row r="494" spans="2:2" x14ac:dyDescent="0.25">
      <c r="B494" s="1"/>
    </row>
    <row r="495" spans="2:2" x14ac:dyDescent="0.25">
      <c r="B495" s="1"/>
    </row>
    <row r="496" spans="2:2" x14ac:dyDescent="0.25">
      <c r="B496" s="1"/>
    </row>
    <row r="497" spans="2:2" x14ac:dyDescent="0.25">
      <c r="B497" s="1"/>
    </row>
    <row r="498" spans="2:2" x14ac:dyDescent="0.25">
      <c r="B498" s="1"/>
    </row>
    <row r="499" spans="2:2" x14ac:dyDescent="0.25">
      <c r="B499" s="1"/>
    </row>
    <row r="500" spans="2:2" x14ac:dyDescent="0.25">
      <c r="B500" s="1"/>
    </row>
    <row r="501" spans="2:2" x14ac:dyDescent="0.25">
      <c r="B501" s="1"/>
    </row>
    <row r="502" spans="2:2" x14ac:dyDescent="0.25">
      <c r="B502" s="1"/>
    </row>
    <row r="503" spans="2:2" x14ac:dyDescent="0.25">
      <c r="B503" s="1"/>
    </row>
    <row r="504" spans="2:2" x14ac:dyDescent="0.25">
      <c r="B504" s="1"/>
    </row>
    <row r="505" spans="2:2" x14ac:dyDescent="0.25">
      <c r="B505" s="1"/>
    </row>
    <row r="506" spans="2:2" x14ac:dyDescent="0.25">
      <c r="B506" s="1"/>
    </row>
    <row r="507" spans="2:2" x14ac:dyDescent="0.25">
      <c r="B507" s="1"/>
    </row>
    <row r="508" spans="2:2" x14ac:dyDescent="0.25">
      <c r="B508" s="1"/>
    </row>
    <row r="509" spans="2:2" x14ac:dyDescent="0.25">
      <c r="B509" s="1"/>
    </row>
    <row r="510" spans="2:2" x14ac:dyDescent="0.25">
      <c r="B510" s="1"/>
    </row>
    <row r="511" spans="2:2" x14ac:dyDescent="0.25">
      <c r="B511" s="1"/>
    </row>
    <row r="512" spans="2:2" x14ac:dyDescent="0.25">
      <c r="B512" s="1"/>
    </row>
    <row r="513" spans="2:2" x14ac:dyDescent="0.25">
      <c r="B513" s="1"/>
    </row>
    <row r="514" spans="2:2" x14ac:dyDescent="0.25">
      <c r="B514" s="1"/>
    </row>
    <row r="515" spans="2:2" x14ac:dyDescent="0.25">
      <c r="B515" s="1"/>
    </row>
    <row r="516" spans="2:2" x14ac:dyDescent="0.25">
      <c r="B516" s="1"/>
    </row>
    <row r="517" spans="2:2" x14ac:dyDescent="0.25">
      <c r="B517" s="1"/>
    </row>
    <row r="518" spans="2:2" x14ac:dyDescent="0.25">
      <c r="B518" s="1"/>
    </row>
    <row r="519" spans="2:2" x14ac:dyDescent="0.25">
      <c r="B519" s="1"/>
    </row>
    <row r="520" spans="2:2" x14ac:dyDescent="0.25">
      <c r="B520" s="1"/>
    </row>
    <row r="521" spans="2:2" x14ac:dyDescent="0.25">
      <c r="B521" s="1"/>
    </row>
    <row r="522" spans="2:2" x14ac:dyDescent="0.25">
      <c r="B522" s="1"/>
    </row>
    <row r="523" spans="2:2" x14ac:dyDescent="0.25">
      <c r="B523" s="1"/>
    </row>
    <row r="524" spans="2:2" x14ac:dyDescent="0.25">
      <c r="B524" s="1"/>
    </row>
    <row r="525" spans="2:2" x14ac:dyDescent="0.25">
      <c r="B525" s="1"/>
    </row>
    <row r="526" spans="2:2" x14ac:dyDescent="0.25">
      <c r="B526" s="1"/>
    </row>
    <row r="527" spans="2:2" x14ac:dyDescent="0.25">
      <c r="B527" s="1"/>
    </row>
    <row r="528" spans="2:2" x14ac:dyDescent="0.25">
      <c r="B528" s="1"/>
    </row>
    <row r="529" spans="2:2" x14ac:dyDescent="0.25">
      <c r="B529" s="1"/>
    </row>
    <row r="530" spans="2:2" x14ac:dyDescent="0.25">
      <c r="B530" s="1"/>
    </row>
    <row r="531" spans="2:2" x14ac:dyDescent="0.25">
      <c r="B531" s="1"/>
    </row>
    <row r="532" spans="2:2" x14ac:dyDescent="0.25">
      <c r="B532" s="1"/>
    </row>
    <row r="533" spans="2:2" x14ac:dyDescent="0.25">
      <c r="B533" s="1"/>
    </row>
    <row r="534" spans="2:2" x14ac:dyDescent="0.25">
      <c r="B534" s="1"/>
    </row>
    <row r="535" spans="2:2" x14ac:dyDescent="0.25">
      <c r="B535" s="1"/>
    </row>
    <row r="536" spans="2:2" x14ac:dyDescent="0.25">
      <c r="B536" s="1"/>
    </row>
    <row r="537" spans="2:2" x14ac:dyDescent="0.25">
      <c r="B537" s="1"/>
    </row>
    <row r="538" spans="2:2" x14ac:dyDescent="0.25">
      <c r="B538" s="1"/>
    </row>
    <row r="539" spans="2:2" x14ac:dyDescent="0.25">
      <c r="B539" s="1"/>
    </row>
    <row r="540" spans="2:2" x14ac:dyDescent="0.25">
      <c r="B540" s="1"/>
    </row>
    <row r="541" spans="2:2" x14ac:dyDescent="0.25">
      <c r="B541" s="1"/>
    </row>
    <row r="542" spans="2:2" x14ac:dyDescent="0.25">
      <c r="B542" s="1"/>
    </row>
    <row r="543" spans="2:2" x14ac:dyDescent="0.25">
      <c r="B543" s="1"/>
    </row>
    <row r="544" spans="2:2" x14ac:dyDescent="0.25">
      <c r="B544" s="1"/>
    </row>
    <row r="545" spans="2:2" x14ac:dyDescent="0.25">
      <c r="B545" s="1"/>
    </row>
    <row r="546" spans="2:2" x14ac:dyDescent="0.25">
      <c r="B546" s="1"/>
    </row>
    <row r="547" spans="2:2" x14ac:dyDescent="0.25">
      <c r="B547" s="1"/>
    </row>
    <row r="548" spans="2:2" x14ac:dyDescent="0.25">
      <c r="B548" s="1"/>
    </row>
    <row r="549" spans="2:2" x14ac:dyDescent="0.25">
      <c r="B549" s="1"/>
    </row>
    <row r="550" spans="2:2" x14ac:dyDescent="0.25">
      <c r="B550" s="1"/>
    </row>
    <row r="551" spans="2:2" x14ac:dyDescent="0.25">
      <c r="B551" s="1"/>
    </row>
    <row r="552" spans="2:2" x14ac:dyDescent="0.25">
      <c r="B552" s="1"/>
    </row>
    <row r="553" spans="2:2" x14ac:dyDescent="0.25">
      <c r="B553" s="1"/>
    </row>
    <row r="554" spans="2:2" x14ac:dyDescent="0.25">
      <c r="B554" s="1"/>
    </row>
    <row r="555" spans="2:2" x14ac:dyDescent="0.25">
      <c r="B555" s="1"/>
    </row>
    <row r="556" spans="2:2" x14ac:dyDescent="0.25">
      <c r="B556" s="1"/>
    </row>
    <row r="557" spans="2:2" x14ac:dyDescent="0.25">
      <c r="B557" s="1"/>
    </row>
    <row r="558" spans="2:2" x14ac:dyDescent="0.25">
      <c r="B558" s="1"/>
    </row>
    <row r="559" spans="2:2" x14ac:dyDescent="0.25">
      <c r="B559" s="1"/>
    </row>
    <row r="560" spans="2:2" x14ac:dyDescent="0.25">
      <c r="B560" s="1"/>
    </row>
    <row r="561" spans="2:2" x14ac:dyDescent="0.25">
      <c r="B561" s="1"/>
    </row>
    <row r="562" spans="2:2" x14ac:dyDescent="0.25">
      <c r="B562" s="1"/>
    </row>
    <row r="563" spans="2:2" x14ac:dyDescent="0.25">
      <c r="B563" s="1"/>
    </row>
    <row r="564" spans="2:2" x14ac:dyDescent="0.25">
      <c r="B564" s="1"/>
    </row>
    <row r="565" spans="2:2" x14ac:dyDescent="0.25">
      <c r="B565" s="1"/>
    </row>
    <row r="566" spans="2:2" x14ac:dyDescent="0.25">
      <c r="B566" s="1"/>
    </row>
    <row r="567" spans="2:2" x14ac:dyDescent="0.25">
      <c r="B567" s="1"/>
    </row>
    <row r="568" spans="2:2" x14ac:dyDescent="0.25">
      <c r="B568" s="1"/>
    </row>
    <row r="569" spans="2:2" x14ac:dyDescent="0.25">
      <c r="B569" s="1"/>
    </row>
    <row r="570" spans="2:2" x14ac:dyDescent="0.25">
      <c r="B570" s="1"/>
    </row>
    <row r="571" spans="2:2" x14ac:dyDescent="0.25">
      <c r="B571" s="1"/>
    </row>
    <row r="572" spans="2:2" x14ac:dyDescent="0.25">
      <c r="B572" s="1"/>
    </row>
    <row r="573" spans="2:2" x14ac:dyDescent="0.25">
      <c r="B573" s="1"/>
    </row>
    <row r="574" spans="2:2" x14ac:dyDescent="0.25">
      <c r="B574" s="1"/>
    </row>
    <row r="575" spans="2:2" x14ac:dyDescent="0.25">
      <c r="B575" s="1"/>
    </row>
    <row r="576" spans="2:2" x14ac:dyDescent="0.25">
      <c r="B576" s="1"/>
    </row>
    <row r="577" spans="2:2" x14ac:dyDescent="0.25">
      <c r="B577" s="1"/>
    </row>
    <row r="578" spans="2:2" x14ac:dyDescent="0.25">
      <c r="B578" s="1"/>
    </row>
    <row r="579" spans="2:2" x14ac:dyDescent="0.25">
      <c r="B579" s="1"/>
    </row>
    <row r="580" spans="2:2" x14ac:dyDescent="0.25">
      <c r="B580" s="1"/>
    </row>
    <row r="581" spans="2:2" x14ac:dyDescent="0.25">
      <c r="B581" s="1"/>
    </row>
    <row r="582" spans="2:2" x14ac:dyDescent="0.25">
      <c r="B582" s="1"/>
    </row>
    <row r="583" spans="2:2" x14ac:dyDescent="0.25">
      <c r="B583" s="1"/>
    </row>
    <row r="584" spans="2:2" x14ac:dyDescent="0.25">
      <c r="B584" s="1"/>
    </row>
    <row r="585" spans="2:2" x14ac:dyDescent="0.25">
      <c r="B585" s="1"/>
    </row>
    <row r="586" spans="2:2" x14ac:dyDescent="0.25">
      <c r="B586" s="1"/>
    </row>
  </sheetData>
  <conditionalFormatting sqref="F27:F29">
    <cfRule type="expression" dxfId="180" priority="29">
      <formula>NOT(EXACT(#REF!,1))</formula>
    </cfRule>
    <cfRule type="expression" dxfId="179" priority="31">
      <formula>EXACT(#REF!,1)</formula>
    </cfRule>
  </conditionalFormatting>
  <conditionalFormatting sqref="B2:B160">
    <cfRule type="expression" dxfId="178" priority="8">
      <formula>EXACT(MID(B2,4,2),"31")</formula>
    </cfRule>
    <cfRule type="expression" dxfId="177" priority="9">
      <formula>EXACT(MID(B2,4,2),"30")</formula>
    </cfRule>
    <cfRule type="expression" dxfId="176" priority="10">
      <formula>EXACT(MID(B2,4,2),"10")</formula>
    </cfRule>
    <cfRule type="expression" dxfId="175" priority="11">
      <formula>EXACT(MID(B2,4,2),"11")</formula>
    </cfRule>
  </conditionalFormatting>
  <conditionalFormatting sqref="A2:A160">
    <cfRule type="expression" dxfId="174" priority="5">
      <formula>AND(EXACT($A$1,"01"),EXACT(MID(B2,7,5),"01 02"))</formula>
    </cfRule>
    <cfRule type="expression" dxfId="173" priority="6">
      <formula>AND(EXACT($A$1,"01"), EXACT(MID(B2,7,5),"01 00"))</formula>
    </cfRule>
    <cfRule type="expression" dxfId="166" priority="7">
      <formula>EXACT(UPPER($A$1),UPPER(MID(B2,7,2)))</formula>
    </cfRule>
  </conditionalFormatting>
  <conditionalFormatting sqref="C2:C160 E2:E160">
    <cfRule type="expression" dxfId="172" priority="2">
      <formula>GESTEP(HEX2DEC($E2),70)</formula>
    </cfRule>
  </conditionalFormatting>
  <conditionalFormatting sqref="D2:D160">
    <cfRule type="expression" dxfId="171" priority="1">
      <formula>GESTEP(HEX2DEC($E2),70)</formula>
    </cfRule>
  </conditionalFormatting>
  <conditionalFormatting sqref="B50 B3:B48">
    <cfRule type="expression" dxfId="170" priority="59">
      <formula>NOT(EXACT(#REF!,1))</formula>
    </cfRule>
    <cfRule type="expression" dxfId="169" priority="60">
      <formula>EXACT(#REF!,1)</formula>
    </cfRule>
  </conditionalFormatting>
  <conditionalFormatting sqref="B51:B160">
    <cfRule type="expression" dxfId="168" priority="63">
      <formula>NOT(EXACT(#REF!,1))</formula>
    </cfRule>
    <cfRule type="expression" dxfId="167" priority="64">
      <formula>EXACT(#REF!,1)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Refresh_button_Click">
                <anchor mov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752475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L544"/>
  <sheetViews>
    <sheetView workbookViewId="0"/>
  </sheetViews>
  <sheetFormatPr baseColWidth="10" defaultRowHeight="15" x14ac:dyDescent="0.25"/>
  <cols>
    <col min="1" max="1" width="80.7109375" customWidth="1"/>
    <col min="2" max="2" width="38.7109375" customWidth="1"/>
    <col min="3" max="3" width="3.7109375" style="7" customWidth="1"/>
    <col min="4" max="5" width="3.7109375" customWidth="1"/>
    <col min="6" max="6" width="11.42578125" customWidth="1"/>
    <col min="7" max="7" width="20.7109375" customWidth="1"/>
    <col min="8" max="8" width="6.7109375" customWidth="1"/>
  </cols>
  <sheetData>
    <row r="1" spans="1:12" x14ac:dyDescent="0.25">
      <c r="A1" s="11"/>
      <c r="B1" s="10" t="s">
        <v>184</v>
      </c>
      <c r="C1" t="s">
        <v>185</v>
      </c>
      <c r="E1" t="s">
        <v>186</v>
      </c>
      <c r="G1" s="19" t="s">
        <v>107</v>
      </c>
      <c r="H1" s="19"/>
      <c r="I1" s="19"/>
      <c r="J1" s="18"/>
      <c r="K1" s="18"/>
      <c r="L1" s="18"/>
    </row>
    <row r="2" spans="1:12" x14ac:dyDescent="0.25">
      <c r="A2" s="9" t="str">
        <f>ParseUnilink(B2)</f>
        <v>84 REQUEST MORE TEXT FIELDS - SEND MAGAZINE INFO</v>
      </c>
      <c r="B2" t="s">
        <v>14</v>
      </c>
      <c r="C2" s="7" t="str">
        <f t="shared" ref="C2" si="0">MID(B2,4,2)</f>
        <v>10</v>
      </c>
      <c r="D2" s="8" t="s">
        <v>109</v>
      </c>
      <c r="E2" s="7" t="str">
        <f t="shared" ref="E2" si="1">MID(B2,1,2)</f>
        <v>31</v>
      </c>
      <c r="G2" s="19" t="s">
        <v>108</v>
      </c>
      <c r="H2" s="18"/>
      <c r="I2" s="18"/>
      <c r="J2" s="18"/>
      <c r="K2" s="18"/>
      <c r="L2" s="18"/>
    </row>
    <row r="3" spans="1:12" x14ac:dyDescent="0.25">
      <c r="A3" s="9" t="str">
        <f t="shared" ref="A3:A50" si="2">ParseUnilink(B3)</f>
        <v>01 MASTER REQUEST - TIME POLL</v>
      </c>
      <c r="B3" t="s">
        <v>34</v>
      </c>
      <c r="C3" s="7" t="str">
        <f t="shared" ref="C3:C66" si="3">MID(B3,4,2)</f>
        <v>10</v>
      </c>
      <c r="D3" s="8" t="s">
        <v>109</v>
      </c>
      <c r="E3" s="7" t="str">
        <f t="shared" ref="E3:E66" si="4">MID(B3,1,2)</f>
        <v>31</v>
      </c>
    </row>
    <row r="4" spans="1:12" ht="15.75" thickBot="1" x14ac:dyDescent="0.3">
      <c r="A4" s="9" t="str">
        <f t="shared" si="2"/>
        <v>00 STATUS - PLAYING</v>
      </c>
      <c r="B4" t="s">
        <v>35</v>
      </c>
      <c r="C4" s="7" t="str">
        <f t="shared" si="3"/>
        <v>31</v>
      </c>
      <c r="D4" s="8" t="s">
        <v>109</v>
      </c>
      <c r="E4" s="7" t="str">
        <f t="shared" si="4"/>
        <v>10</v>
      </c>
    </row>
    <row r="5" spans="1:12" ht="15.75" thickBot="1" x14ac:dyDescent="0.3">
      <c r="A5" s="9" t="str">
        <f t="shared" si="2"/>
        <v>84 REQUEST MORE TEXT FIELDS - SEND DISC INFO</v>
      </c>
      <c r="B5" t="s">
        <v>17</v>
      </c>
      <c r="C5" s="7" t="str">
        <f t="shared" si="3"/>
        <v>10</v>
      </c>
      <c r="D5" s="8" t="s">
        <v>109</v>
      </c>
      <c r="E5" s="7" t="str">
        <f t="shared" si="4"/>
        <v>31</v>
      </c>
      <c r="G5" s="12" t="s">
        <v>314</v>
      </c>
      <c r="H5" s="13" t="s">
        <v>313</v>
      </c>
    </row>
    <row r="6" spans="1:12" x14ac:dyDescent="0.25">
      <c r="A6" s="9" t="str">
        <f t="shared" si="2"/>
        <v>01 MASTER REQUEST - SLAVE POLL</v>
      </c>
      <c r="B6" t="s">
        <v>36</v>
      </c>
      <c r="C6" s="7" t="str">
        <f t="shared" si="3"/>
        <v>10</v>
      </c>
      <c r="D6" s="8" t="s">
        <v>109</v>
      </c>
      <c r="E6" s="7" t="str">
        <f t="shared" si="4"/>
        <v>31</v>
      </c>
      <c r="G6" s="16" t="s">
        <v>243</v>
      </c>
      <c r="H6" s="14" t="s">
        <v>148</v>
      </c>
    </row>
    <row r="7" spans="1:12" x14ac:dyDescent="0.25">
      <c r="A7" s="9" t="str">
        <f t="shared" si="2"/>
        <v>95 MAGAZINE INFO - CD1 YES, CD2 YES, CD3 NO, CD4 NO, CD5 NO, CD6 NO</v>
      </c>
      <c r="B7" t="s">
        <v>37</v>
      </c>
      <c r="C7" s="7" t="str">
        <f t="shared" si="3"/>
        <v>31</v>
      </c>
      <c r="D7" s="8" t="s">
        <v>109</v>
      </c>
      <c r="E7" s="7" t="str">
        <f t="shared" si="4"/>
        <v>10</v>
      </c>
      <c r="G7" s="16" t="s">
        <v>244</v>
      </c>
      <c r="H7" s="14" t="s">
        <v>148</v>
      </c>
    </row>
    <row r="8" spans="1:12" x14ac:dyDescent="0.25">
      <c r="A8" s="9" t="str">
        <f t="shared" si="2"/>
        <v>01 MASTER REQUEST - SLAVE POLL</v>
      </c>
      <c r="B8" t="s">
        <v>36</v>
      </c>
      <c r="C8" s="7" t="str">
        <f t="shared" si="3"/>
        <v>10</v>
      </c>
      <c r="D8" s="8" t="s">
        <v>109</v>
      </c>
      <c r="E8" s="7" t="str">
        <f t="shared" si="4"/>
        <v>31</v>
      </c>
      <c r="G8" s="16" t="s">
        <v>245</v>
      </c>
      <c r="H8" s="14" t="s">
        <v>148</v>
      </c>
    </row>
    <row r="9" spans="1:12" x14ac:dyDescent="0.25">
      <c r="A9" s="9" t="str">
        <f t="shared" si="2"/>
        <v>97 DISC INFO - TRACKS: 69, MINS: 88, SECS: 00, DISC: 2</v>
      </c>
      <c r="B9" t="s">
        <v>38</v>
      </c>
      <c r="C9" s="7" t="str">
        <f t="shared" si="3"/>
        <v>31</v>
      </c>
      <c r="D9" s="8" t="s">
        <v>109</v>
      </c>
      <c r="E9" s="7" t="str">
        <f t="shared" si="4"/>
        <v>10</v>
      </c>
      <c r="G9" s="16" t="s">
        <v>246</v>
      </c>
      <c r="H9" s="14" t="s">
        <v>242</v>
      </c>
    </row>
    <row r="10" spans="1:12" x14ac:dyDescent="0.25">
      <c r="A10" s="9" t="str">
        <f t="shared" si="2"/>
        <v>01 MASTER REQUEST - SLAVE POLL</v>
      </c>
      <c r="B10" t="s">
        <v>36</v>
      </c>
      <c r="C10" s="7" t="str">
        <f t="shared" si="3"/>
        <v>10</v>
      </c>
      <c r="D10" s="8" t="s">
        <v>109</v>
      </c>
      <c r="E10" s="7" t="str">
        <f t="shared" si="4"/>
        <v>31</v>
      </c>
      <c r="F10" s="5"/>
      <c r="G10" s="16" t="s">
        <v>247</v>
      </c>
      <c r="H10" s="14" t="s">
        <v>287</v>
      </c>
    </row>
    <row r="11" spans="1:12" x14ac:dyDescent="0.25">
      <c r="A11" s="9" t="str">
        <f t="shared" si="2"/>
        <v>90 TIME- TRACK: 01, 00:03, DISC: 2</v>
      </c>
      <c r="B11" t="s">
        <v>39</v>
      </c>
      <c r="C11" s="7" t="str">
        <f t="shared" si="3"/>
        <v>31</v>
      </c>
      <c r="D11" s="8" t="s">
        <v>109</v>
      </c>
      <c r="E11" s="7" t="str">
        <f t="shared" si="4"/>
        <v>70</v>
      </c>
      <c r="F11" s="5"/>
      <c r="G11" s="16" t="s">
        <v>248</v>
      </c>
      <c r="H11" s="14" t="s">
        <v>287</v>
      </c>
    </row>
    <row r="12" spans="1:12" x14ac:dyDescent="0.25">
      <c r="A12" s="9" t="str">
        <f t="shared" si="2"/>
        <v>01 MASTER REQUEST - SLAVE POLL</v>
      </c>
      <c r="B12" t="s">
        <v>36</v>
      </c>
      <c r="C12" s="7" t="str">
        <f t="shared" si="3"/>
        <v>10</v>
      </c>
      <c r="D12" s="8" t="s">
        <v>109</v>
      </c>
      <c r="E12" s="7" t="str">
        <f t="shared" si="4"/>
        <v>31</v>
      </c>
      <c r="F12" s="5"/>
      <c r="G12" s="16" t="s">
        <v>249</v>
      </c>
      <c r="H12" s="14" t="s">
        <v>288</v>
      </c>
    </row>
    <row r="13" spans="1:12" x14ac:dyDescent="0.25">
      <c r="A13" s="9" t="str">
        <f t="shared" si="2"/>
        <v>00 STATUS - PLAYING</v>
      </c>
      <c r="B13" t="s">
        <v>35</v>
      </c>
      <c r="C13" s="7" t="str">
        <f t="shared" si="3"/>
        <v>31</v>
      </c>
      <c r="D13" s="8" t="s">
        <v>109</v>
      </c>
      <c r="E13" s="7" t="str">
        <f t="shared" si="4"/>
        <v>10</v>
      </c>
      <c r="F13" s="5"/>
      <c r="G13" s="16" t="s">
        <v>250</v>
      </c>
      <c r="H13" s="14" t="s">
        <v>289</v>
      </c>
    </row>
    <row r="14" spans="1:12" x14ac:dyDescent="0.25">
      <c r="A14" s="9" t="str">
        <f t="shared" si="2"/>
        <v>01 MASTER REQUEST - SLAVE POLL</v>
      </c>
      <c r="B14" t="s">
        <v>36</v>
      </c>
      <c r="C14" s="7" t="str">
        <f t="shared" si="3"/>
        <v>10</v>
      </c>
      <c r="D14" s="8" t="s">
        <v>109</v>
      </c>
      <c r="E14" s="7" t="str">
        <f t="shared" si="4"/>
        <v>31</v>
      </c>
      <c r="F14" s="5"/>
      <c r="G14" s="16" t="s">
        <v>251</v>
      </c>
      <c r="H14" s="14" t="s">
        <v>290</v>
      </c>
    </row>
    <row r="15" spans="1:12" x14ac:dyDescent="0.25">
      <c r="A15" s="9" t="str">
        <f t="shared" si="2"/>
        <v>90 TIME- TRACK: 01, 00:04, DISC: 2</v>
      </c>
      <c r="B15" t="s">
        <v>40</v>
      </c>
      <c r="C15" s="7" t="str">
        <f t="shared" si="3"/>
        <v>31</v>
      </c>
      <c r="D15" s="8" t="s">
        <v>109</v>
      </c>
      <c r="E15" s="7" t="str">
        <f t="shared" si="4"/>
        <v>70</v>
      </c>
      <c r="F15" s="5"/>
      <c r="G15" s="16" t="s">
        <v>252</v>
      </c>
      <c r="H15" s="14" t="s">
        <v>291</v>
      </c>
    </row>
    <row r="16" spans="1:12" x14ac:dyDescent="0.25">
      <c r="A16" s="9" t="str">
        <f t="shared" si="2"/>
        <v>01 MASTER REQUEST - SLAVE POLL</v>
      </c>
      <c r="B16" t="s">
        <v>36</v>
      </c>
      <c r="C16" s="7" t="str">
        <f t="shared" si="3"/>
        <v>10</v>
      </c>
      <c r="D16" s="8" t="s">
        <v>109</v>
      </c>
      <c r="E16" s="7" t="str">
        <f t="shared" si="4"/>
        <v>31</v>
      </c>
      <c r="F16" s="5"/>
      <c r="G16" s="16" t="s">
        <v>253</v>
      </c>
      <c r="H16" s="14" t="s">
        <v>292</v>
      </c>
    </row>
    <row r="17" spans="1:8" x14ac:dyDescent="0.25">
      <c r="A17" s="9" t="str">
        <f t="shared" si="2"/>
        <v>00 STATUS - PLAYING</v>
      </c>
      <c r="B17" t="s">
        <v>35</v>
      </c>
      <c r="C17" s="7" t="str">
        <f t="shared" si="3"/>
        <v>31</v>
      </c>
      <c r="D17" s="8" t="s">
        <v>109</v>
      </c>
      <c r="E17" s="7" t="str">
        <f t="shared" si="4"/>
        <v>10</v>
      </c>
      <c r="F17" s="5"/>
      <c r="G17" s="16" t="s">
        <v>254</v>
      </c>
      <c r="H17" s="14" t="s">
        <v>293</v>
      </c>
    </row>
    <row r="18" spans="1:8" x14ac:dyDescent="0.25">
      <c r="A18" s="9" t="str">
        <f t="shared" si="2"/>
        <v>84 REQUEST MORE TEXT FIELDS - SEND MAGAZINE INFO</v>
      </c>
      <c r="B18" t="s">
        <v>14</v>
      </c>
      <c r="C18" s="7" t="str">
        <f t="shared" si="3"/>
        <v>10</v>
      </c>
      <c r="D18" s="8" t="s">
        <v>109</v>
      </c>
      <c r="E18" s="7" t="str">
        <f t="shared" si="4"/>
        <v>31</v>
      </c>
      <c r="F18" s="5"/>
      <c r="G18" s="16" t="s">
        <v>255</v>
      </c>
      <c r="H18" s="14" t="s">
        <v>294</v>
      </c>
    </row>
    <row r="19" spans="1:8" x14ac:dyDescent="0.25">
      <c r="A19" s="9" t="str">
        <f t="shared" si="2"/>
        <v>01 MASTER REQUEST - TIME POLL</v>
      </c>
      <c r="B19" t="s">
        <v>34</v>
      </c>
      <c r="C19" s="7" t="str">
        <f t="shared" si="3"/>
        <v>10</v>
      </c>
      <c r="D19" s="8" t="s">
        <v>109</v>
      </c>
      <c r="E19" s="7" t="str">
        <f t="shared" si="4"/>
        <v>31</v>
      </c>
      <c r="F19" s="5"/>
      <c r="G19" s="16" t="s">
        <v>256</v>
      </c>
      <c r="H19" s="14" t="s">
        <v>295</v>
      </c>
    </row>
    <row r="20" spans="1:8" x14ac:dyDescent="0.25">
      <c r="A20" s="9" t="str">
        <f t="shared" si="2"/>
        <v>00 STATUS - PLAYING</v>
      </c>
      <c r="B20" t="s">
        <v>35</v>
      </c>
      <c r="C20" s="7" t="str">
        <f t="shared" si="3"/>
        <v>31</v>
      </c>
      <c r="D20" s="8" t="s">
        <v>109</v>
      </c>
      <c r="E20" s="7" t="str">
        <f t="shared" si="4"/>
        <v>10</v>
      </c>
      <c r="F20" s="5"/>
      <c r="G20" s="16" t="s">
        <v>257</v>
      </c>
      <c r="H20" s="14" t="s">
        <v>296</v>
      </c>
    </row>
    <row r="21" spans="1:8" x14ac:dyDescent="0.25">
      <c r="A21" s="9" t="str">
        <f t="shared" si="2"/>
        <v>84 REQUEST MORE TEXT FIELDS - SEND DISC INFO</v>
      </c>
      <c r="B21" t="s">
        <v>17</v>
      </c>
      <c r="C21" s="7" t="str">
        <f t="shared" si="3"/>
        <v>10</v>
      </c>
      <c r="D21" s="8" t="s">
        <v>109</v>
      </c>
      <c r="E21" s="7" t="str">
        <f t="shared" si="4"/>
        <v>31</v>
      </c>
      <c r="F21" s="5"/>
      <c r="G21" s="16" t="s">
        <v>258</v>
      </c>
      <c r="H21" s="14" t="s">
        <v>297</v>
      </c>
    </row>
    <row r="22" spans="1:8" x14ac:dyDescent="0.25">
      <c r="A22" s="9" t="str">
        <f t="shared" si="2"/>
        <v>01 MASTER REQUEST - SLAVE POLL</v>
      </c>
      <c r="B22" t="s">
        <v>36</v>
      </c>
      <c r="C22" s="7" t="str">
        <f t="shared" si="3"/>
        <v>10</v>
      </c>
      <c r="D22" s="8" t="s">
        <v>109</v>
      </c>
      <c r="E22" s="7" t="str">
        <f t="shared" si="4"/>
        <v>31</v>
      </c>
      <c r="F22" s="5"/>
      <c r="G22" s="16" t="s">
        <v>259</v>
      </c>
      <c r="H22" s="14" t="s">
        <v>298</v>
      </c>
    </row>
    <row r="23" spans="1:8" x14ac:dyDescent="0.25">
      <c r="A23" s="9" t="str">
        <f t="shared" si="2"/>
        <v>95 MAGAZINE INFO - CD1 YES, CD2 YES, CD3 NO, CD4 NO, CD5 NO, CD6 NO</v>
      </c>
      <c r="B23" t="s">
        <v>37</v>
      </c>
      <c r="C23" s="7" t="str">
        <f t="shared" si="3"/>
        <v>31</v>
      </c>
      <c r="D23" s="8" t="s">
        <v>109</v>
      </c>
      <c r="E23" s="7" t="str">
        <f t="shared" si="4"/>
        <v>10</v>
      </c>
      <c r="F23" s="5"/>
      <c r="G23" s="16" t="s">
        <v>260</v>
      </c>
      <c r="H23" s="14" t="s">
        <v>299</v>
      </c>
    </row>
    <row r="24" spans="1:8" x14ac:dyDescent="0.25">
      <c r="A24" s="9" t="str">
        <f t="shared" si="2"/>
        <v>01 MASTER REQUEST - SLAVE POLL</v>
      </c>
      <c r="B24" t="s">
        <v>36</v>
      </c>
      <c r="C24" s="7" t="str">
        <f t="shared" si="3"/>
        <v>10</v>
      </c>
      <c r="D24" s="8" t="s">
        <v>109</v>
      </c>
      <c r="E24" s="7" t="str">
        <f t="shared" si="4"/>
        <v>31</v>
      </c>
      <c r="F24" s="5"/>
      <c r="G24" s="16" t="s">
        <v>261</v>
      </c>
      <c r="H24" s="14" t="s">
        <v>300</v>
      </c>
    </row>
    <row r="25" spans="1:8" x14ac:dyDescent="0.25">
      <c r="A25" s="9" t="str">
        <f t="shared" si="2"/>
        <v>97 DISC INFO - TRACKS: 69, MINS: 88, SECS: 00, DISC: 2</v>
      </c>
      <c r="B25" t="s">
        <v>38</v>
      </c>
      <c r="C25" s="7" t="str">
        <f t="shared" si="3"/>
        <v>31</v>
      </c>
      <c r="D25" s="8" t="s">
        <v>109</v>
      </c>
      <c r="E25" s="7" t="str">
        <f t="shared" si="4"/>
        <v>10</v>
      </c>
      <c r="F25" s="5"/>
      <c r="G25" s="16" t="s">
        <v>262</v>
      </c>
      <c r="H25" s="14" t="s">
        <v>301</v>
      </c>
    </row>
    <row r="26" spans="1:8" x14ac:dyDescent="0.25">
      <c r="A26" s="9" t="str">
        <f t="shared" si="2"/>
        <v>01 MASTER REQUEST - SLAVE POLL</v>
      </c>
      <c r="B26" t="s">
        <v>36</v>
      </c>
      <c r="C26" s="7" t="str">
        <f t="shared" si="3"/>
        <v>10</v>
      </c>
      <c r="D26" s="8" t="s">
        <v>109</v>
      </c>
      <c r="E26" s="7" t="str">
        <f t="shared" si="4"/>
        <v>31</v>
      </c>
      <c r="F26" s="5"/>
      <c r="G26" s="16" t="s">
        <v>263</v>
      </c>
      <c r="H26" s="14" t="s">
        <v>302</v>
      </c>
    </row>
    <row r="27" spans="1:8" x14ac:dyDescent="0.25">
      <c r="A27" s="9" t="str">
        <f t="shared" si="2"/>
        <v>90 TIME- TRACK: 01, 00:05, DISC: 2</v>
      </c>
      <c r="B27" t="s">
        <v>41</v>
      </c>
      <c r="C27" s="7" t="str">
        <f t="shared" si="3"/>
        <v>31</v>
      </c>
      <c r="D27" s="8" t="s">
        <v>109</v>
      </c>
      <c r="E27" s="7" t="str">
        <f t="shared" si="4"/>
        <v>70</v>
      </c>
      <c r="F27" s="5"/>
      <c r="G27" s="16" t="s">
        <v>264</v>
      </c>
      <c r="H27" s="14" t="s">
        <v>303</v>
      </c>
    </row>
    <row r="28" spans="1:8" x14ac:dyDescent="0.25">
      <c r="A28" s="9" t="str">
        <f t="shared" si="2"/>
        <v>01 MASTER REQUEST - SLAVE POLL</v>
      </c>
      <c r="B28" t="s">
        <v>36</v>
      </c>
      <c r="C28" s="7" t="str">
        <f t="shared" si="3"/>
        <v>10</v>
      </c>
      <c r="D28" s="8" t="s">
        <v>109</v>
      </c>
      <c r="E28" s="7" t="str">
        <f t="shared" si="4"/>
        <v>31</v>
      </c>
      <c r="F28" s="5"/>
      <c r="G28" s="16" t="s">
        <v>265</v>
      </c>
      <c r="H28" s="14" t="s">
        <v>304</v>
      </c>
    </row>
    <row r="29" spans="1:8" x14ac:dyDescent="0.25">
      <c r="A29" s="9" t="str">
        <f t="shared" si="2"/>
        <v>00 STATUS - PLAYING</v>
      </c>
      <c r="B29" t="s">
        <v>35</v>
      </c>
      <c r="C29" s="7" t="str">
        <f t="shared" si="3"/>
        <v>31</v>
      </c>
      <c r="D29" s="8" t="s">
        <v>109</v>
      </c>
      <c r="E29" s="7" t="str">
        <f t="shared" si="4"/>
        <v>10</v>
      </c>
      <c r="F29" s="5"/>
      <c r="G29" s="16" t="s">
        <v>266</v>
      </c>
      <c r="H29" s="14" t="s">
        <v>305</v>
      </c>
    </row>
    <row r="30" spans="1:8" x14ac:dyDescent="0.25">
      <c r="A30" s="9" t="str">
        <f t="shared" si="2"/>
        <v>84 REQUEST MORE TEXT FIELDS - SEND MAGAZINE INFO</v>
      </c>
      <c r="B30" t="s">
        <v>14</v>
      </c>
      <c r="C30" s="7" t="str">
        <f t="shared" si="3"/>
        <v>10</v>
      </c>
      <c r="D30" s="8" t="s">
        <v>109</v>
      </c>
      <c r="E30" s="7" t="str">
        <f t="shared" si="4"/>
        <v>31</v>
      </c>
      <c r="F30" s="5"/>
      <c r="G30" s="16" t="s">
        <v>267</v>
      </c>
      <c r="H30" s="14" t="s">
        <v>306</v>
      </c>
    </row>
    <row r="31" spans="1:8" x14ac:dyDescent="0.25">
      <c r="A31" s="9" t="str">
        <f>ParseUnilink(B31)</f>
        <v>01 MASTER REQUEST - TIME POLL</v>
      </c>
      <c r="B31" t="s">
        <v>34</v>
      </c>
      <c r="C31" s="7" t="str">
        <f t="shared" si="3"/>
        <v>10</v>
      </c>
      <c r="D31" s="8" t="s">
        <v>109</v>
      </c>
      <c r="E31" s="7" t="str">
        <f t="shared" si="4"/>
        <v>31</v>
      </c>
      <c r="F31" s="5"/>
      <c r="G31" s="16" t="s">
        <v>268</v>
      </c>
      <c r="H31" s="14" t="s">
        <v>307</v>
      </c>
    </row>
    <row r="32" spans="1:8" x14ac:dyDescent="0.25">
      <c r="A32" s="9" t="str">
        <f t="shared" si="2"/>
        <v>00 STATUS - PLAYING</v>
      </c>
      <c r="B32" t="s">
        <v>35</v>
      </c>
      <c r="C32" s="7" t="str">
        <f t="shared" si="3"/>
        <v>31</v>
      </c>
      <c r="D32" s="8" t="s">
        <v>109</v>
      </c>
      <c r="E32" s="7" t="str">
        <f t="shared" si="4"/>
        <v>10</v>
      </c>
      <c r="F32" s="5"/>
      <c r="G32" s="16" t="s">
        <v>269</v>
      </c>
      <c r="H32" s="14" t="s">
        <v>270</v>
      </c>
    </row>
    <row r="33" spans="1:8" x14ac:dyDescent="0.25">
      <c r="A33" s="9" t="str">
        <f t="shared" si="2"/>
        <v>84 REQUEST MORE TEXT FIELDS - SEND DISC INFO</v>
      </c>
      <c r="B33" t="s">
        <v>17</v>
      </c>
      <c r="C33" s="7" t="str">
        <f t="shared" si="3"/>
        <v>10</v>
      </c>
      <c r="D33" s="8" t="s">
        <v>109</v>
      </c>
      <c r="E33" s="7" t="str">
        <f t="shared" si="4"/>
        <v>31</v>
      </c>
      <c r="F33" s="5"/>
      <c r="G33" s="16" t="s">
        <v>271</v>
      </c>
      <c r="H33" s="14" t="s">
        <v>272</v>
      </c>
    </row>
    <row r="34" spans="1:8" x14ac:dyDescent="0.25">
      <c r="A34" s="9" t="str">
        <f t="shared" si="2"/>
        <v>01 MASTER REQUEST - SLAVE POLL</v>
      </c>
      <c r="B34" t="s">
        <v>36</v>
      </c>
      <c r="C34" s="7" t="str">
        <f t="shared" si="3"/>
        <v>10</v>
      </c>
      <c r="D34" s="8" t="s">
        <v>109</v>
      </c>
      <c r="E34" s="7" t="str">
        <f t="shared" si="4"/>
        <v>31</v>
      </c>
      <c r="F34" s="5"/>
      <c r="G34" s="16" t="s">
        <v>273</v>
      </c>
      <c r="H34" s="14" t="s">
        <v>308</v>
      </c>
    </row>
    <row r="35" spans="1:8" x14ac:dyDescent="0.25">
      <c r="A35" s="9" t="str">
        <f t="shared" si="2"/>
        <v>95 MAGAZINE INFO - CD1 YES, CD2 YES, CD3 NO, CD4 NO, CD5 NO, CD6 NO</v>
      </c>
      <c r="B35" t="s">
        <v>37</v>
      </c>
      <c r="C35" s="7" t="str">
        <f t="shared" si="3"/>
        <v>31</v>
      </c>
      <c r="D35" s="8" t="s">
        <v>109</v>
      </c>
      <c r="E35" s="7" t="str">
        <f t="shared" si="4"/>
        <v>10</v>
      </c>
      <c r="F35" s="5"/>
      <c r="G35" s="16" t="s">
        <v>274</v>
      </c>
      <c r="H35" s="14" t="s">
        <v>309</v>
      </c>
    </row>
    <row r="36" spans="1:8" x14ac:dyDescent="0.25">
      <c r="A36" s="9" t="str">
        <f t="shared" si="2"/>
        <v>01 MASTER REQUEST - SLAVE POLL</v>
      </c>
      <c r="B36" t="s">
        <v>36</v>
      </c>
      <c r="C36" s="7" t="str">
        <f t="shared" si="3"/>
        <v>10</v>
      </c>
      <c r="D36" s="8" t="s">
        <v>109</v>
      </c>
      <c r="E36" s="7" t="str">
        <f t="shared" si="4"/>
        <v>31</v>
      </c>
      <c r="F36" s="5"/>
      <c r="G36" s="16" t="s">
        <v>275</v>
      </c>
      <c r="H36" s="14" t="s">
        <v>310</v>
      </c>
    </row>
    <row r="37" spans="1:8" x14ac:dyDescent="0.25">
      <c r="A37" s="9" t="str">
        <f t="shared" si="2"/>
        <v>97 DISC INFO - TRACKS: 69, MINS: 88, SECS: 00, DISC: 2</v>
      </c>
      <c r="B37" t="s">
        <v>38</v>
      </c>
      <c r="C37" s="7" t="str">
        <f t="shared" si="3"/>
        <v>31</v>
      </c>
      <c r="D37" s="8" t="s">
        <v>109</v>
      </c>
      <c r="E37" s="7" t="str">
        <f t="shared" si="4"/>
        <v>10</v>
      </c>
      <c r="F37" s="5"/>
      <c r="G37" s="16" t="s">
        <v>276</v>
      </c>
      <c r="H37" s="14" t="s">
        <v>311</v>
      </c>
    </row>
    <row r="38" spans="1:8" x14ac:dyDescent="0.25">
      <c r="A38" s="9" t="str">
        <f t="shared" si="2"/>
        <v>01 MASTER REQUEST - SLAVE POLL</v>
      </c>
      <c r="B38" t="s">
        <v>36</v>
      </c>
      <c r="C38" s="7" t="str">
        <f t="shared" si="3"/>
        <v>10</v>
      </c>
      <c r="D38" s="8" t="s">
        <v>109</v>
      </c>
      <c r="E38" s="7" t="str">
        <f t="shared" si="4"/>
        <v>31</v>
      </c>
      <c r="F38" s="5"/>
      <c r="G38" s="16" t="s">
        <v>277</v>
      </c>
      <c r="H38" s="14" t="s">
        <v>278</v>
      </c>
    </row>
    <row r="39" spans="1:8" x14ac:dyDescent="0.25">
      <c r="A39" s="9" t="str">
        <f t="shared" si="2"/>
        <v>90 TIME- TRACK: 01, 00:06, DISC: 2</v>
      </c>
      <c r="B39" t="s">
        <v>42</v>
      </c>
      <c r="C39" s="7" t="str">
        <f t="shared" si="3"/>
        <v>31</v>
      </c>
      <c r="D39" s="8" t="s">
        <v>109</v>
      </c>
      <c r="E39" s="7" t="str">
        <f t="shared" si="4"/>
        <v>70</v>
      </c>
      <c r="F39" s="5"/>
      <c r="G39" s="16" t="s">
        <v>279</v>
      </c>
      <c r="H39" s="14" t="s">
        <v>312</v>
      </c>
    </row>
    <row r="40" spans="1:8" x14ac:dyDescent="0.25">
      <c r="A40" s="9" t="str">
        <f t="shared" si="2"/>
        <v>01 MASTER REQUEST - SLAVE POLL</v>
      </c>
      <c r="B40" t="s">
        <v>36</v>
      </c>
      <c r="C40" s="7" t="str">
        <f t="shared" si="3"/>
        <v>10</v>
      </c>
      <c r="D40" s="8" t="s">
        <v>109</v>
      </c>
      <c r="E40" s="7" t="str">
        <f t="shared" si="4"/>
        <v>31</v>
      </c>
      <c r="F40" s="5"/>
      <c r="G40" s="16" t="s">
        <v>280</v>
      </c>
      <c r="H40" s="14" t="s">
        <v>188</v>
      </c>
    </row>
    <row r="41" spans="1:8" x14ac:dyDescent="0.25">
      <c r="A41" s="9" t="str">
        <f t="shared" si="2"/>
        <v>00 STATUS - PLAYING</v>
      </c>
      <c r="B41" t="s">
        <v>35</v>
      </c>
      <c r="C41" s="7" t="str">
        <f t="shared" si="3"/>
        <v>31</v>
      </c>
      <c r="D41" s="8" t="s">
        <v>109</v>
      </c>
      <c r="E41" s="7" t="str">
        <f t="shared" si="4"/>
        <v>10</v>
      </c>
      <c r="F41" s="5"/>
      <c r="G41" s="16" t="s">
        <v>281</v>
      </c>
      <c r="H41" s="14" t="s">
        <v>282</v>
      </c>
    </row>
    <row r="42" spans="1:8" x14ac:dyDescent="0.25">
      <c r="A42" s="9" t="str">
        <f t="shared" si="2"/>
        <v>B0 CHANGE TO DISC 2, TRACK 02</v>
      </c>
      <c r="B42" t="s">
        <v>43</v>
      </c>
      <c r="C42" s="7" t="str">
        <f t="shared" si="3"/>
        <v>11</v>
      </c>
      <c r="D42" s="8" t="s">
        <v>109</v>
      </c>
      <c r="E42" s="7" t="str">
        <f t="shared" si="4"/>
        <v>31</v>
      </c>
      <c r="F42" s="5"/>
      <c r="G42" s="16" t="s">
        <v>283</v>
      </c>
      <c r="H42" s="14" t="s">
        <v>284</v>
      </c>
    </row>
    <row r="43" spans="1:8" ht="15.75" thickBot="1" x14ac:dyDescent="0.3">
      <c r="A43" s="9" t="str">
        <f t="shared" si="2"/>
        <v>01 MASTER REQUEST - SLAVE POLL</v>
      </c>
      <c r="B43" t="s">
        <v>36</v>
      </c>
      <c r="C43" s="7" t="str">
        <f t="shared" si="3"/>
        <v>10</v>
      </c>
      <c r="D43" s="8" t="s">
        <v>109</v>
      </c>
      <c r="E43" s="7" t="str">
        <f t="shared" si="4"/>
        <v>31</v>
      </c>
      <c r="F43" s="5"/>
      <c r="G43" s="17" t="s">
        <v>285</v>
      </c>
      <c r="H43" s="15" t="s">
        <v>286</v>
      </c>
    </row>
    <row r="44" spans="1:8" x14ac:dyDescent="0.25">
      <c r="A44" s="9" t="str">
        <f t="shared" si="2"/>
        <v>C0 SEEKING TO - (NO PARITY2???) XCARLINK BUG, ALFA 166 ICS DOESN'T ALLOW 13 BYTE RESPONSES!</v>
      </c>
      <c r="B44" t="s">
        <v>44</v>
      </c>
      <c r="C44" s="7" t="str">
        <f t="shared" si="3"/>
        <v>31</v>
      </c>
      <c r="D44" s="8" t="s">
        <v>109</v>
      </c>
      <c r="E44" s="7" t="str">
        <f t="shared" si="4"/>
        <v>77</v>
      </c>
      <c r="F44" s="5"/>
    </row>
    <row r="45" spans="1:8" x14ac:dyDescent="0.25">
      <c r="A45" s="9" t="str">
        <f t="shared" si="2"/>
        <v>84 REQUEST MORE TEXT FIELDS - SEND MAGAZINE INFO</v>
      </c>
      <c r="B45" t="s">
        <v>14</v>
      </c>
      <c r="C45" s="7" t="str">
        <f t="shared" si="3"/>
        <v>10</v>
      </c>
      <c r="D45" s="8" t="s">
        <v>109</v>
      </c>
      <c r="E45" s="7" t="str">
        <f t="shared" si="4"/>
        <v>31</v>
      </c>
      <c r="F45" s="5"/>
    </row>
    <row r="46" spans="1:8" x14ac:dyDescent="0.25">
      <c r="A46" s="9" t="str">
        <f t="shared" si="2"/>
        <v>01 MASTER REQUEST - TIME POLL</v>
      </c>
      <c r="B46" t="s">
        <v>34</v>
      </c>
      <c r="C46" s="7" t="str">
        <f t="shared" si="3"/>
        <v>10</v>
      </c>
      <c r="D46" s="8" t="s">
        <v>109</v>
      </c>
      <c r="E46" s="7" t="str">
        <f t="shared" si="4"/>
        <v>31</v>
      </c>
      <c r="F46" s="5"/>
    </row>
    <row r="47" spans="1:8" x14ac:dyDescent="0.25">
      <c r="A47" s="9" t="str">
        <f t="shared" si="2"/>
        <v>00 STATUS - PLAYING</v>
      </c>
      <c r="B47" t="s">
        <v>35</v>
      </c>
      <c r="C47" s="7" t="str">
        <f t="shared" si="3"/>
        <v>31</v>
      </c>
      <c r="D47" s="8" t="s">
        <v>109</v>
      </c>
      <c r="E47" s="7" t="str">
        <f t="shared" si="4"/>
        <v>10</v>
      </c>
      <c r="F47" s="5"/>
    </row>
    <row r="48" spans="1:8" x14ac:dyDescent="0.25">
      <c r="A48" s="9" t="str">
        <f t="shared" si="2"/>
        <v>84 REQUEST MORE TEXT FIELDS - SEND DISC INFO</v>
      </c>
      <c r="B48" t="s">
        <v>17</v>
      </c>
      <c r="C48" s="7" t="str">
        <f t="shared" si="3"/>
        <v>10</v>
      </c>
      <c r="D48" s="8" t="s">
        <v>109</v>
      </c>
      <c r="E48" s="7" t="str">
        <f t="shared" si="4"/>
        <v>31</v>
      </c>
      <c r="F48" s="5"/>
    </row>
    <row r="49" spans="1:8" x14ac:dyDescent="0.25">
      <c r="A49" s="9" t="str">
        <f t="shared" si="2"/>
        <v>01 MASTER REQUEST - SLAVE POLL</v>
      </c>
      <c r="B49" t="s">
        <v>36</v>
      </c>
      <c r="C49" s="7" t="str">
        <f t="shared" si="3"/>
        <v>10</v>
      </c>
      <c r="D49" s="8" t="s">
        <v>109</v>
      </c>
      <c r="E49" s="7" t="str">
        <f t="shared" si="4"/>
        <v>31</v>
      </c>
      <c r="F49" s="5"/>
    </row>
    <row r="50" spans="1:8" x14ac:dyDescent="0.25">
      <c r="A50" s="9" t="str">
        <f t="shared" si="2"/>
        <v>95 MAGAZINE INFO - CD1 YES, CD2 YES, CD3 NO, CD4 NO, CD5 NO, CD6 NO</v>
      </c>
      <c r="B50" t="s">
        <v>37</v>
      </c>
      <c r="C50" s="7" t="str">
        <f t="shared" si="3"/>
        <v>31</v>
      </c>
      <c r="D50" s="8" t="s">
        <v>109</v>
      </c>
      <c r="E50" s="7" t="str">
        <f t="shared" si="4"/>
        <v>10</v>
      </c>
      <c r="F50" s="5"/>
    </row>
    <row r="51" spans="1:8" x14ac:dyDescent="0.25">
      <c r="A51" s="9" t="str">
        <f t="shared" ref="A51:A66" si="5">ParseUnilink(B51)</f>
        <v>01 MASTER REQUEST - SLAVE POLL</v>
      </c>
      <c r="B51" t="s">
        <v>36</v>
      </c>
      <c r="C51" s="7" t="str">
        <f t="shared" si="3"/>
        <v>10</v>
      </c>
      <c r="D51" s="8" t="s">
        <v>109</v>
      </c>
      <c r="E51" s="7" t="str">
        <f t="shared" si="4"/>
        <v>31</v>
      </c>
      <c r="F51" s="5"/>
      <c r="G51" s="5"/>
      <c r="H51" s="5"/>
    </row>
    <row r="52" spans="1:8" x14ac:dyDescent="0.25">
      <c r="A52" s="9" t="str">
        <f t="shared" si="5"/>
        <v>97 DISC INFO - TRACKS: 69, MINS: 88, SECS: 00, DISC: 2</v>
      </c>
      <c r="B52" t="s">
        <v>38</v>
      </c>
      <c r="C52" s="7" t="str">
        <f t="shared" si="3"/>
        <v>31</v>
      </c>
      <c r="D52" s="8" t="s">
        <v>109</v>
      </c>
      <c r="E52" s="7" t="str">
        <f t="shared" si="4"/>
        <v>10</v>
      </c>
      <c r="F52" s="5"/>
      <c r="G52" s="5"/>
      <c r="H52" s="5"/>
    </row>
    <row r="53" spans="1:8" x14ac:dyDescent="0.25">
      <c r="A53" s="9" t="str">
        <f t="shared" si="5"/>
        <v>01 MASTER REQUEST - SLAVE POLL</v>
      </c>
      <c r="B53" t="s">
        <v>36</v>
      </c>
      <c r="C53" s="7" t="str">
        <f t="shared" si="3"/>
        <v>10</v>
      </c>
      <c r="D53" s="8" t="s">
        <v>109</v>
      </c>
      <c r="E53" s="7" t="str">
        <f t="shared" si="4"/>
        <v>31</v>
      </c>
      <c r="F53" s="5"/>
      <c r="G53" s="5"/>
      <c r="H53" s="5"/>
    </row>
    <row r="54" spans="1:8" x14ac:dyDescent="0.25">
      <c r="A54" s="9" t="str">
        <f t="shared" si="5"/>
        <v>90 TIME- TRACK: 02, 00:00, DISC: 2</v>
      </c>
      <c r="B54" t="s">
        <v>45</v>
      </c>
      <c r="C54" s="7" t="str">
        <f t="shared" si="3"/>
        <v>31</v>
      </c>
      <c r="D54" s="8" t="s">
        <v>109</v>
      </c>
      <c r="E54" s="7" t="str">
        <f t="shared" si="4"/>
        <v>70</v>
      </c>
      <c r="F54" s="5"/>
      <c r="G54" s="5"/>
      <c r="H54" s="5"/>
    </row>
    <row r="55" spans="1:8" x14ac:dyDescent="0.25">
      <c r="A55" s="9" t="str">
        <f t="shared" si="5"/>
        <v>01 MASTER REQUEST - SLAVE POLL</v>
      </c>
      <c r="B55" t="s">
        <v>36</v>
      </c>
      <c r="C55" s="7" t="str">
        <f t="shared" si="3"/>
        <v>10</v>
      </c>
      <c r="D55" s="8" t="s">
        <v>109</v>
      </c>
      <c r="E55" s="7" t="str">
        <f t="shared" si="4"/>
        <v>31</v>
      </c>
      <c r="F55" s="5"/>
      <c r="G55" s="5"/>
      <c r="H55" s="5"/>
    </row>
    <row r="56" spans="1:8" x14ac:dyDescent="0.25">
      <c r="A56" s="9" t="str">
        <f t="shared" si="5"/>
        <v>00 STATUS - PLAYING</v>
      </c>
      <c r="B56" t="s">
        <v>35</v>
      </c>
      <c r="C56" s="7" t="str">
        <f t="shared" si="3"/>
        <v>31</v>
      </c>
      <c r="D56" s="8" t="s">
        <v>109</v>
      </c>
      <c r="E56" s="7" t="str">
        <f t="shared" si="4"/>
        <v>10</v>
      </c>
      <c r="F56" s="5"/>
      <c r="G56" s="5"/>
      <c r="H56" s="5"/>
    </row>
    <row r="57" spans="1:8" x14ac:dyDescent="0.25">
      <c r="A57" s="9" t="str">
        <f t="shared" si="5"/>
        <v>84 REQUEST MORE TEXT FIELDS - SEND MAGAZINE INFO</v>
      </c>
      <c r="B57" t="s">
        <v>14</v>
      </c>
      <c r="C57" s="7" t="str">
        <f t="shared" si="3"/>
        <v>10</v>
      </c>
      <c r="D57" s="8" t="s">
        <v>109</v>
      </c>
      <c r="E57" s="7" t="str">
        <f t="shared" si="4"/>
        <v>31</v>
      </c>
      <c r="F57" s="5"/>
      <c r="G57" s="5"/>
      <c r="H57" s="5"/>
    </row>
    <row r="58" spans="1:8" x14ac:dyDescent="0.25">
      <c r="A58" s="9" t="str">
        <f t="shared" si="5"/>
        <v>01 MASTER REQUEST - TIME POLL</v>
      </c>
      <c r="B58" t="s">
        <v>34</v>
      </c>
      <c r="C58" s="7" t="str">
        <f t="shared" si="3"/>
        <v>10</v>
      </c>
      <c r="D58" s="8" t="s">
        <v>109</v>
      </c>
      <c r="E58" s="7" t="str">
        <f t="shared" si="4"/>
        <v>31</v>
      </c>
      <c r="F58" s="5"/>
      <c r="G58" s="5"/>
      <c r="H58" s="5"/>
    </row>
    <row r="59" spans="1:8" x14ac:dyDescent="0.25">
      <c r="A59" s="9" t="str">
        <f t="shared" si="5"/>
        <v>00 STATUS - PLAYING</v>
      </c>
      <c r="B59" t="s">
        <v>35</v>
      </c>
      <c r="C59" s="7" t="str">
        <f t="shared" si="3"/>
        <v>31</v>
      </c>
      <c r="D59" s="8" t="s">
        <v>109</v>
      </c>
      <c r="E59" s="7" t="str">
        <f t="shared" si="4"/>
        <v>10</v>
      </c>
      <c r="F59" s="5"/>
      <c r="G59" s="5"/>
      <c r="H59" s="5"/>
    </row>
    <row r="60" spans="1:8" x14ac:dyDescent="0.25">
      <c r="A60" s="9" t="str">
        <f t="shared" si="5"/>
        <v>01 MASTER REQUEST - SLAVE POLL</v>
      </c>
      <c r="B60" t="s">
        <v>36</v>
      </c>
      <c r="C60" s="7" t="str">
        <f t="shared" si="3"/>
        <v>10</v>
      </c>
      <c r="D60" s="8" t="s">
        <v>109</v>
      </c>
      <c r="E60" s="7" t="str">
        <f t="shared" si="4"/>
        <v>31</v>
      </c>
      <c r="F60" s="5"/>
      <c r="G60" s="5"/>
      <c r="H60" s="5"/>
    </row>
    <row r="61" spans="1:8" x14ac:dyDescent="0.25">
      <c r="A61" s="9" t="str">
        <f t="shared" si="5"/>
        <v>C0 SEEKING TO - (NO PARITY2???) XCARLINK BUG, ALFA 166 ICS DOESN'T ALLOW 13 BYTE RESPONSES!</v>
      </c>
      <c r="B61" t="s">
        <v>46</v>
      </c>
      <c r="C61" s="7" t="str">
        <f t="shared" si="3"/>
        <v>31</v>
      </c>
      <c r="D61" s="8" t="s">
        <v>109</v>
      </c>
      <c r="E61" s="7" t="str">
        <f t="shared" si="4"/>
        <v>70</v>
      </c>
      <c r="F61" s="5"/>
      <c r="G61" s="5"/>
    </row>
    <row r="62" spans="1:8" x14ac:dyDescent="0.25">
      <c r="A62" s="9" t="str">
        <f t="shared" si="5"/>
        <v>01 MASTER REQUEST - SLAVE POLL</v>
      </c>
      <c r="B62" t="s">
        <v>36</v>
      </c>
      <c r="C62" s="7" t="str">
        <f t="shared" si="3"/>
        <v>10</v>
      </c>
      <c r="D62" s="8" t="s">
        <v>109</v>
      </c>
      <c r="E62" s="7" t="str">
        <f t="shared" si="4"/>
        <v>31</v>
      </c>
      <c r="F62" s="5"/>
      <c r="G62" s="5"/>
    </row>
    <row r="63" spans="1:8" x14ac:dyDescent="0.25">
      <c r="A63" s="9" t="str">
        <f t="shared" si="5"/>
        <v>97 DISC INFO - TRACKS: 69, MINS: 88, SECS: 00, DISC: 2</v>
      </c>
      <c r="B63" t="s">
        <v>38</v>
      </c>
      <c r="C63" s="7" t="str">
        <f t="shared" si="3"/>
        <v>31</v>
      </c>
      <c r="D63" s="8" t="s">
        <v>109</v>
      </c>
      <c r="E63" s="7" t="str">
        <f t="shared" si="4"/>
        <v>10</v>
      </c>
      <c r="F63" s="5"/>
      <c r="G63" s="5"/>
    </row>
    <row r="64" spans="1:8" x14ac:dyDescent="0.25">
      <c r="A64" s="9" t="str">
        <f t="shared" si="5"/>
        <v>84 REQUEST MORE TEXT FIELDS - SEND DISC INFO</v>
      </c>
      <c r="B64" t="s">
        <v>17</v>
      </c>
      <c r="C64" s="7" t="str">
        <f t="shared" si="3"/>
        <v>10</v>
      </c>
      <c r="D64" s="8" t="s">
        <v>109</v>
      </c>
      <c r="E64" s="7" t="str">
        <f t="shared" si="4"/>
        <v>31</v>
      </c>
      <c r="F64" s="5"/>
      <c r="G64" s="5"/>
    </row>
    <row r="65" spans="1:7" x14ac:dyDescent="0.25">
      <c r="A65" s="9" t="str">
        <f t="shared" si="5"/>
        <v>01 MASTER REQUEST - SLAVE POLL</v>
      </c>
      <c r="B65" t="s">
        <v>36</v>
      </c>
      <c r="C65" s="7" t="str">
        <f t="shared" si="3"/>
        <v>10</v>
      </c>
      <c r="D65" s="8" t="s">
        <v>109</v>
      </c>
      <c r="E65" s="7" t="str">
        <f t="shared" si="4"/>
        <v>31</v>
      </c>
      <c r="F65" s="5"/>
      <c r="G65" s="5"/>
    </row>
    <row r="66" spans="1:7" x14ac:dyDescent="0.25">
      <c r="A66" s="9" t="str">
        <f t="shared" si="5"/>
        <v>D5 DISC IDENTIFIER</v>
      </c>
      <c r="B66" t="s">
        <v>47</v>
      </c>
      <c r="C66" s="7" t="str">
        <f t="shared" si="3"/>
        <v>31</v>
      </c>
      <c r="D66" s="8" t="s">
        <v>109</v>
      </c>
      <c r="E66" s="7" t="str">
        <f t="shared" si="4"/>
        <v>10</v>
      </c>
      <c r="F66" s="5"/>
      <c r="G66" s="5"/>
    </row>
    <row r="67" spans="1:7" x14ac:dyDescent="0.25">
      <c r="A67" s="9" t="str">
        <f t="shared" ref="A67:A130" si="6">ParseUnilink(B67)</f>
        <v>01 MASTER REQUEST - SLAVE POLL</v>
      </c>
      <c r="B67" t="s">
        <v>36</v>
      </c>
      <c r="C67" s="7" t="str">
        <f t="shared" ref="C67:C130" si="7">MID(B67,4,2)</f>
        <v>10</v>
      </c>
      <c r="D67" s="8" t="s">
        <v>109</v>
      </c>
      <c r="E67" s="7" t="str">
        <f t="shared" ref="E67:E130" si="8">MID(B67,1,2)</f>
        <v>31</v>
      </c>
      <c r="F67" s="5"/>
      <c r="G67" s="5"/>
    </row>
    <row r="68" spans="1:7" x14ac:dyDescent="0.25">
      <c r="A68" s="9" t="str">
        <f t="shared" si="6"/>
        <v>90 TIME- TRACK: 02, 00:00, DISC: 2</v>
      </c>
      <c r="B68" t="s">
        <v>45</v>
      </c>
      <c r="C68" s="7" t="str">
        <f t="shared" si="7"/>
        <v>31</v>
      </c>
      <c r="D68" s="8" t="s">
        <v>109</v>
      </c>
      <c r="E68" s="7" t="str">
        <f t="shared" si="8"/>
        <v>70</v>
      </c>
      <c r="F68" s="5"/>
      <c r="G68" s="5"/>
    </row>
    <row r="69" spans="1:7" x14ac:dyDescent="0.25">
      <c r="A69" s="9" t="str">
        <f t="shared" si="6"/>
        <v>01 MASTER REQUEST - SLAVE POLL</v>
      </c>
      <c r="B69" t="s">
        <v>36</v>
      </c>
      <c r="C69" s="7" t="str">
        <f t="shared" si="7"/>
        <v>10</v>
      </c>
      <c r="D69" s="8" t="s">
        <v>109</v>
      </c>
      <c r="E69" s="7" t="str">
        <f t="shared" si="8"/>
        <v>31</v>
      </c>
      <c r="F69" s="5"/>
      <c r="G69" s="5"/>
    </row>
    <row r="70" spans="1:7" x14ac:dyDescent="0.25">
      <c r="A70" s="9" t="str">
        <f t="shared" si="6"/>
        <v>97 DISC INFO - TRACKS: 69, MINS: 88, SECS: 00, DISC: 2</v>
      </c>
      <c r="B70" t="s">
        <v>38</v>
      </c>
      <c r="C70" s="7" t="str">
        <f t="shared" si="7"/>
        <v>31</v>
      </c>
      <c r="D70" s="8" t="s">
        <v>109</v>
      </c>
      <c r="E70" s="7" t="str">
        <f t="shared" si="8"/>
        <v>10</v>
      </c>
      <c r="F70" s="5"/>
      <c r="G70" s="5"/>
    </row>
    <row r="71" spans="1:7" x14ac:dyDescent="0.25">
      <c r="A71" s="9" t="str">
        <f t="shared" si="6"/>
        <v>01 MASTER REQUEST - SLAVE POLL</v>
      </c>
      <c r="B71" t="s">
        <v>36</v>
      </c>
      <c r="C71" s="7" t="str">
        <f t="shared" si="7"/>
        <v>10</v>
      </c>
      <c r="D71" s="8" t="s">
        <v>109</v>
      </c>
      <c r="E71" s="7" t="str">
        <f t="shared" si="8"/>
        <v>31</v>
      </c>
      <c r="F71" s="5"/>
      <c r="G71" s="5"/>
    </row>
    <row r="72" spans="1:7" x14ac:dyDescent="0.25">
      <c r="A72" s="9" t="str">
        <f t="shared" si="6"/>
        <v>00 STATUS - PLAYING</v>
      </c>
      <c r="B72" t="s">
        <v>35</v>
      </c>
      <c r="C72" s="7" t="str">
        <f t="shared" si="7"/>
        <v>31</v>
      </c>
      <c r="D72" s="8" t="s">
        <v>109</v>
      </c>
      <c r="E72" s="7" t="str">
        <f t="shared" si="8"/>
        <v>10</v>
      </c>
      <c r="F72" s="5"/>
      <c r="G72" s="5"/>
    </row>
    <row r="73" spans="1:7" x14ac:dyDescent="0.25">
      <c r="A73" s="9" t="str">
        <f t="shared" si="6"/>
        <v>01 MASTER REQUEST - SLAVE POLL</v>
      </c>
      <c r="B73" t="s">
        <v>36</v>
      </c>
      <c r="C73" s="7" t="str">
        <f t="shared" si="7"/>
        <v>10</v>
      </c>
      <c r="D73" s="8" t="s">
        <v>109</v>
      </c>
      <c r="E73" s="7" t="str">
        <f t="shared" si="8"/>
        <v>31</v>
      </c>
      <c r="F73" s="5"/>
      <c r="G73" s="5"/>
    </row>
    <row r="74" spans="1:7" x14ac:dyDescent="0.25">
      <c r="A74" s="9" t="str">
        <f t="shared" si="6"/>
        <v>90 TIME- TRACK: 02, 00:01, DISC: 2</v>
      </c>
      <c r="B74" t="s">
        <v>48</v>
      </c>
      <c r="C74" s="7" t="str">
        <f t="shared" si="7"/>
        <v>31</v>
      </c>
      <c r="D74" s="8" t="s">
        <v>109</v>
      </c>
      <c r="E74" s="7" t="str">
        <f t="shared" si="8"/>
        <v>70</v>
      </c>
      <c r="F74" s="5"/>
      <c r="G74" s="5"/>
    </row>
    <row r="75" spans="1:7" x14ac:dyDescent="0.25">
      <c r="A75" s="9" t="str">
        <f t="shared" si="6"/>
        <v>01 MASTER REQUEST - SLAVE POLL</v>
      </c>
      <c r="B75" t="s">
        <v>36</v>
      </c>
      <c r="C75" s="7" t="str">
        <f t="shared" si="7"/>
        <v>10</v>
      </c>
      <c r="D75" s="8" t="s">
        <v>109</v>
      </c>
      <c r="E75" s="7" t="str">
        <f t="shared" si="8"/>
        <v>31</v>
      </c>
      <c r="F75" s="5"/>
      <c r="G75" s="5"/>
    </row>
    <row r="76" spans="1:7" x14ac:dyDescent="0.25">
      <c r="A76" s="9" t="str">
        <f t="shared" si="6"/>
        <v>00 STATUS - PLAYING</v>
      </c>
      <c r="B76" t="s">
        <v>35</v>
      </c>
      <c r="C76" s="7" t="str">
        <f t="shared" si="7"/>
        <v>31</v>
      </c>
      <c r="D76" s="8" t="s">
        <v>109</v>
      </c>
      <c r="E76" s="7" t="str">
        <f t="shared" si="8"/>
        <v>10</v>
      </c>
      <c r="F76" s="5"/>
      <c r="G76" s="5"/>
    </row>
    <row r="77" spans="1:7" x14ac:dyDescent="0.25">
      <c r="A77" s="9" t="str">
        <f t="shared" si="6"/>
        <v>84 REQUEST MORE TEXT FIELDS - SEND MAGAZINE INFO</v>
      </c>
      <c r="B77" t="s">
        <v>14</v>
      </c>
      <c r="C77" s="7" t="str">
        <f t="shared" si="7"/>
        <v>10</v>
      </c>
      <c r="D77" s="8" t="s">
        <v>109</v>
      </c>
      <c r="E77" s="7" t="str">
        <f t="shared" si="8"/>
        <v>31</v>
      </c>
      <c r="F77" s="5"/>
      <c r="G77" s="5"/>
    </row>
    <row r="78" spans="1:7" x14ac:dyDescent="0.25">
      <c r="A78" s="9" t="str">
        <f t="shared" si="6"/>
        <v>01 MASTER REQUEST - TIME POLL</v>
      </c>
      <c r="B78" t="s">
        <v>34</v>
      </c>
      <c r="C78" s="7" t="str">
        <f t="shared" si="7"/>
        <v>10</v>
      </c>
      <c r="D78" s="8" t="s">
        <v>109</v>
      </c>
      <c r="E78" s="7" t="str">
        <f t="shared" si="8"/>
        <v>31</v>
      </c>
      <c r="F78" s="5"/>
      <c r="G78" s="5"/>
    </row>
    <row r="79" spans="1:7" x14ac:dyDescent="0.25">
      <c r="A79" s="9" t="str">
        <f t="shared" si="6"/>
        <v>00 STATUS - PLAYING</v>
      </c>
      <c r="B79" t="s">
        <v>35</v>
      </c>
      <c r="C79" s="7" t="str">
        <f t="shared" si="7"/>
        <v>31</v>
      </c>
      <c r="D79" s="8" t="s">
        <v>109</v>
      </c>
      <c r="E79" s="7" t="str">
        <f t="shared" si="8"/>
        <v>10</v>
      </c>
      <c r="F79" s="5"/>
      <c r="G79" s="5"/>
    </row>
    <row r="80" spans="1:7" x14ac:dyDescent="0.25">
      <c r="A80" s="9" t="str">
        <f t="shared" si="6"/>
        <v>84 REQUEST MORE TEXT FIELDS - SEND DISC INFO</v>
      </c>
      <c r="B80" t="s">
        <v>17</v>
      </c>
      <c r="C80" s="7" t="str">
        <f t="shared" si="7"/>
        <v>10</v>
      </c>
      <c r="D80" s="8" t="s">
        <v>109</v>
      </c>
      <c r="E80" s="7" t="str">
        <f t="shared" si="8"/>
        <v>31</v>
      </c>
      <c r="F80" s="5"/>
      <c r="G80" s="5"/>
    </row>
    <row r="81" spans="1:7" x14ac:dyDescent="0.25">
      <c r="A81" s="9" t="str">
        <f t="shared" si="6"/>
        <v>01 MASTER REQUEST - SLAVE POLL</v>
      </c>
      <c r="B81" t="s">
        <v>36</v>
      </c>
      <c r="C81" s="7" t="str">
        <f t="shared" si="7"/>
        <v>10</v>
      </c>
      <c r="D81" s="8" t="s">
        <v>109</v>
      </c>
      <c r="E81" s="7" t="str">
        <f t="shared" si="8"/>
        <v>31</v>
      </c>
      <c r="F81" s="5"/>
      <c r="G81" s="5"/>
    </row>
    <row r="82" spans="1:7" x14ac:dyDescent="0.25">
      <c r="A82" s="9" t="str">
        <f t="shared" si="6"/>
        <v>95 MAGAZINE INFO - CD1 YES, CD2 YES, CD3 NO, CD4 NO, CD5 NO, CD6 NO</v>
      </c>
      <c r="B82" t="s">
        <v>37</v>
      </c>
      <c r="C82" s="7" t="str">
        <f t="shared" si="7"/>
        <v>31</v>
      </c>
      <c r="D82" s="8" t="s">
        <v>109</v>
      </c>
      <c r="E82" s="7" t="str">
        <f t="shared" si="8"/>
        <v>10</v>
      </c>
      <c r="F82" s="5"/>
      <c r="G82" s="5"/>
    </row>
    <row r="83" spans="1:7" x14ac:dyDescent="0.25">
      <c r="A83" s="9" t="str">
        <f t="shared" si="6"/>
        <v>01 MASTER REQUEST - SLAVE POLL</v>
      </c>
      <c r="B83" t="s">
        <v>36</v>
      </c>
      <c r="C83" s="7" t="str">
        <f t="shared" si="7"/>
        <v>10</v>
      </c>
      <c r="D83" s="8" t="s">
        <v>109</v>
      </c>
      <c r="E83" s="7" t="str">
        <f t="shared" si="8"/>
        <v>31</v>
      </c>
      <c r="F83" s="5"/>
      <c r="G83" s="5"/>
    </row>
    <row r="84" spans="1:7" x14ac:dyDescent="0.25">
      <c r="A84" s="9" t="str">
        <f t="shared" si="6"/>
        <v>97 DISC INFO - TRACKS: 69, MINS: 88, SECS: 00, DISC: 2</v>
      </c>
      <c r="B84" t="s">
        <v>38</v>
      </c>
      <c r="C84" s="7" t="str">
        <f t="shared" si="7"/>
        <v>31</v>
      </c>
      <c r="D84" s="8" t="s">
        <v>109</v>
      </c>
      <c r="E84" s="7" t="str">
        <f t="shared" si="8"/>
        <v>10</v>
      </c>
      <c r="F84" s="5"/>
      <c r="G84" s="5"/>
    </row>
    <row r="85" spans="1:7" x14ac:dyDescent="0.25">
      <c r="A85" s="9" t="str">
        <f t="shared" si="6"/>
        <v>01 MASTER REQUEST - SLAVE POLL</v>
      </c>
      <c r="B85" t="s">
        <v>36</v>
      </c>
      <c r="C85" s="7" t="str">
        <f t="shared" si="7"/>
        <v>10</v>
      </c>
      <c r="D85" s="8" t="s">
        <v>109</v>
      </c>
      <c r="E85" s="7" t="str">
        <f t="shared" si="8"/>
        <v>31</v>
      </c>
      <c r="F85" s="5"/>
      <c r="G85" s="5"/>
    </row>
    <row r="86" spans="1:7" x14ac:dyDescent="0.25">
      <c r="A86" s="9" t="str">
        <f t="shared" si="6"/>
        <v>90 TIME- TRACK: 02, 00:02, DISC: 2</v>
      </c>
      <c r="B86" t="s">
        <v>49</v>
      </c>
      <c r="C86" s="7" t="str">
        <f t="shared" si="7"/>
        <v>31</v>
      </c>
      <c r="D86" s="8" t="s">
        <v>109</v>
      </c>
      <c r="E86" s="7" t="str">
        <f t="shared" si="8"/>
        <v>70</v>
      </c>
      <c r="F86" s="5"/>
      <c r="G86" s="5"/>
    </row>
    <row r="87" spans="1:7" x14ac:dyDescent="0.25">
      <c r="A87" s="9" t="str">
        <f t="shared" si="6"/>
        <v>01 MASTER REQUEST - SLAVE POLL</v>
      </c>
      <c r="B87" t="s">
        <v>36</v>
      </c>
      <c r="C87" s="7" t="str">
        <f t="shared" si="7"/>
        <v>10</v>
      </c>
      <c r="D87" s="8" t="s">
        <v>109</v>
      </c>
      <c r="E87" s="7" t="str">
        <f t="shared" si="8"/>
        <v>31</v>
      </c>
      <c r="F87" s="5"/>
      <c r="G87" s="5"/>
    </row>
    <row r="88" spans="1:7" x14ac:dyDescent="0.25">
      <c r="A88" s="9" t="str">
        <f t="shared" si="6"/>
        <v>00 STATUS - PLAYING</v>
      </c>
      <c r="B88" t="s">
        <v>35</v>
      </c>
      <c r="C88" s="7" t="str">
        <f t="shared" si="7"/>
        <v>31</v>
      </c>
      <c r="D88" s="8" t="s">
        <v>109</v>
      </c>
      <c r="E88" s="7" t="str">
        <f t="shared" si="8"/>
        <v>10</v>
      </c>
      <c r="F88" s="5"/>
      <c r="G88" s="5"/>
    </row>
    <row r="89" spans="1:7" x14ac:dyDescent="0.25">
      <c r="A89" s="9" t="str">
        <f t="shared" si="6"/>
        <v>01 MASTER REQUEST - SLAVE POLL</v>
      </c>
      <c r="B89" t="s">
        <v>36</v>
      </c>
      <c r="C89" s="7" t="str">
        <f t="shared" si="7"/>
        <v>10</v>
      </c>
      <c r="D89" s="8" t="s">
        <v>109</v>
      </c>
      <c r="E89" s="7" t="str">
        <f t="shared" si="8"/>
        <v>31</v>
      </c>
      <c r="F89" s="5"/>
      <c r="G89" s="5"/>
    </row>
    <row r="90" spans="1:7" x14ac:dyDescent="0.25">
      <c r="A90" s="9" t="str">
        <f t="shared" si="6"/>
        <v>90 TIME- TRACK: 02, 00:03, DISC: 2</v>
      </c>
      <c r="B90" t="s">
        <v>50</v>
      </c>
      <c r="C90" s="7" t="str">
        <f t="shared" si="7"/>
        <v>31</v>
      </c>
      <c r="D90" s="8" t="s">
        <v>109</v>
      </c>
      <c r="E90" s="7" t="str">
        <f t="shared" si="8"/>
        <v>70</v>
      </c>
      <c r="F90" s="5"/>
      <c r="G90" s="5"/>
    </row>
    <row r="91" spans="1:7" x14ac:dyDescent="0.25">
      <c r="A91" s="9" t="str">
        <f t="shared" si="6"/>
        <v>84 REQUEST MORE TEXT FIELDS - SEND MAGAZINE INFO</v>
      </c>
      <c r="B91" t="s">
        <v>14</v>
      </c>
      <c r="C91" s="7" t="str">
        <f t="shared" si="7"/>
        <v>10</v>
      </c>
      <c r="D91" s="8" t="s">
        <v>109</v>
      </c>
      <c r="E91" s="7" t="str">
        <f t="shared" si="8"/>
        <v>31</v>
      </c>
      <c r="F91" s="5"/>
      <c r="G91" s="5"/>
    </row>
    <row r="92" spans="1:7" x14ac:dyDescent="0.25">
      <c r="A92" s="9" t="str">
        <f t="shared" si="6"/>
        <v>01 MASTER REQUEST - TIME POLL</v>
      </c>
      <c r="B92" t="s">
        <v>34</v>
      </c>
      <c r="C92" s="7" t="str">
        <f t="shared" si="7"/>
        <v>10</v>
      </c>
      <c r="D92" s="8" t="s">
        <v>109</v>
      </c>
      <c r="E92" s="7" t="str">
        <f t="shared" si="8"/>
        <v>31</v>
      </c>
      <c r="F92" s="5"/>
      <c r="G92" s="5"/>
    </row>
    <row r="93" spans="1:7" x14ac:dyDescent="0.25">
      <c r="A93" s="9" t="str">
        <f t="shared" si="6"/>
        <v>00 STATUS - PLAYING</v>
      </c>
      <c r="B93" t="s">
        <v>35</v>
      </c>
      <c r="C93" s="7" t="str">
        <f t="shared" si="7"/>
        <v>31</v>
      </c>
      <c r="D93" s="8" t="s">
        <v>109</v>
      </c>
      <c r="E93" s="7" t="str">
        <f t="shared" si="8"/>
        <v>10</v>
      </c>
      <c r="F93" s="5"/>
      <c r="G93" s="5"/>
    </row>
    <row r="94" spans="1:7" x14ac:dyDescent="0.25">
      <c r="A94" s="9" t="str">
        <f t="shared" si="6"/>
        <v>84 REQUEST MORE TEXT FIELDS - SEND DISC INFO</v>
      </c>
      <c r="B94" t="s">
        <v>17</v>
      </c>
      <c r="C94" s="7" t="str">
        <f t="shared" si="7"/>
        <v>10</v>
      </c>
      <c r="D94" s="8" t="s">
        <v>109</v>
      </c>
      <c r="E94" s="7" t="str">
        <f t="shared" si="8"/>
        <v>31</v>
      </c>
      <c r="F94" s="5"/>
      <c r="G94" s="5"/>
    </row>
    <row r="95" spans="1:7" x14ac:dyDescent="0.25">
      <c r="A95" s="9" t="str">
        <f t="shared" si="6"/>
        <v>01 MASTER REQUEST - SLAVE POLL</v>
      </c>
      <c r="B95" t="s">
        <v>36</v>
      </c>
      <c r="C95" s="7" t="str">
        <f t="shared" si="7"/>
        <v>10</v>
      </c>
      <c r="D95" s="8" t="s">
        <v>109</v>
      </c>
      <c r="E95" s="7" t="str">
        <f t="shared" si="8"/>
        <v>31</v>
      </c>
      <c r="F95" s="5"/>
      <c r="G95" s="5"/>
    </row>
    <row r="96" spans="1:7" x14ac:dyDescent="0.25">
      <c r="A96" s="9" t="str">
        <f t="shared" si="6"/>
        <v>95 MAGAZINE INFO - CD1 YES, CD2 YES, CD3 NO, CD4 NO, CD5 NO, CD6 NO</v>
      </c>
      <c r="B96" t="s">
        <v>37</v>
      </c>
      <c r="C96" s="7" t="str">
        <f t="shared" si="7"/>
        <v>31</v>
      </c>
      <c r="D96" s="8" t="s">
        <v>109</v>
      </c>
      <c r="E96" s="7" t="str">
        <f t="shared" si="8"/>
        <v>10</v>
      </c>
      <c r="F96" s="5"/>
      <c r="G96" s="5"/>
    </row>
    <row r="97" spans="1:7" x14ac:dyDescent="0.25">
      <c r="A97" s="9" t="str">
        <f t="shared" si="6"/>
        <v>01 MASTER REQUEST - SLAVE POLL</v>
      </c>
      <c r="B97" t="s">
        <v>36</v>
      </c>
      <c r="C97" s="7" t="str">
        <f t="shared" si="7"/>
        <v>10</v>
      </c>
      <c r="D97" s="8" t="s">
        <v>109</v>
      </c>
      <c r="E97" s="7" t="str">
        <f t="shared" si="8"/>
        <v>31</v>
      </c>
      <c r="F97" s="5"/>
      <c r="G97" s="5"/>
    </row>
    <row r="98" spans="1:7" x14ac:dyDescent="0.25">
      <c r="A98" s="9" t="str">
        <f t="shared" si="6"/>
        <v>97 DISC INFO - TRACKS: 69, MINS: 88, SECS: 00, DISC: 2</v>
      </c>
      <c r="B98" t="s">
        <v>38</v>
      </c>
      <c r="C98" s="7" t="str">
        <f t="shared" si="7"/>
        <v>31</v>
      </c>
      <c r="D98" s="8" t="s">
        <v>109</v>
      </c>
      <c r="E98" s="7" t="str">
        <f t="shared" si="8"/>
        <v>10</v>
      </c>
      <c r="F98" s="5"/>
      <c r="G98" s="5"/>
    </row>
    <row r="99" spans="1:7" x14ac:dyDescent="0.25">
      <c r="A99" s="9" t="str">
        <f t="shared" si="6"/>
        <v>B0 CHANGE TO DISC 2, TRACK 03</v>
      </c>
      <c r="B99" t="s">
        <v>51</v>
      </c>
      <c r="C99" s="7" t="str">
        <f t="shared" si="7"/>
        <v>11</v>
      </c>
      <c r="D99" s="8" t="s">
        <v>109</v>
      </c>
      <c r="E99" s="7" t="str">
        <f t="shared" si="8"/>
        <v>31</v>
      </c>
      <c r="F99" s="5"/>
      <c r="G99" s="5"/>
    </row>
    <row r="100" spans="1:7" x14ac:dyDescent="0.25">
      <c r="A100" s="9" t="str">
        <f t="shared" si="6"/>
        <v>01 MASTER REQUEST - SLAVE POLL</v>
      </c>
      <c r="B100" t="s">
        <v>36</v>
      </c>
      <c r="C100" s="7" t="str">
        <f t="shared" si="7"/>
        <v>10</v>
      </c>
      <c r="D100" s="8" t="s">
        <v>109</v>
      </c>
      <c r="E100" s="7" t="str">
        <f t="shared" si="8"/>
        <v>31</v>
      </c>
      <c r="F100" s="5"/>
      <c r="G100" s="5"/>
    </row>
    <row r="101" spans="1:7" x14ac:dyDescent="0.25">
      <c r="A101" s="9" t="str">
        <f t="shared" si="6"/>
        <v>C0 SEEKING TO - (NO PARITY2???) XCARLINK BUG, ALFA 166 ICS DOESN'T ALLOW 13 BYTE RESPONSES!</v>
      </c>
      <c r="B101" t="s">
        <v>52</v>
      </c>
      <c r="C101" s="7" t="str">
        <f t="shared" si="7"/>
        <v>31</v>
      </c>
      <c r="D101" s="8" t="s">
        <v>109</v>
      </c>
      <c r="E101" s="7" t="str">
        <f t="shared" si="8"/>
        <v>77</v>
      </c>
      <c r="F101" s="5"/>
      <c r="G101" s="5"/>
    </row>
    <row r="102" spans="1:7" x14ac:dyDescent="0.25">
      <c r="A102" s="9" t="str">
        <f t="shared" si="6"/>
        <v>84 REQUEST MORE TEXT FIELDS - SEND MAGAZINE INFO</v>
      </c>
      <c r="B102" t="s">
        <v>14</v>
      </c>
      <c r="C102" s="7" t="str">
        <f t="shared" si="7"/>
        <v>10</v>
      </c>
      <c r="D102" s="8" t="s">
        <v>109</v>
      </c>
      <c r="E102" s="7" t="str">
        <f t="shared" si="8"/>
        <v>31</v>
      </c>
      <c r="F102" s="5"/>
      <c r="G102" s="5"/>
    </row>
    <row r="103" spans="1:7" x14ac:dyDescent="0.25">
      <c r="A103" s="9" t="str">
        <f t="shared" si="6"/>
        <v>01 MASTER REQUEST - TIME POLL</v>
      </c>
      <c r="B103" t="s">
        <v>34</v>
      </c>
      <c r="C103" s="7" t="str">
        <f t="shared" si="7"/>
        <v>10</v>
      </c>
      <c r="D103" s="8" t="s">
        <v>109</v>
      </c>
      <c r="E103" s="7" t="str">
        <f t="shared" si="8"/>
        <v>31</v>
      </c>
      <c r="F103" s="5"/>
      <c r="G103" s="5"/>
    </row>
    <row r="104" spans="1:7" x14ac:dyDescent="0.25">
      <c r="A104" s="9" t="str">
        <f t="shared" si="6"/>
        <v>00 STATUS - PLAYING</v>
      </c>
      <c r="B104" t="s">
        <v>35</v>
      </c>
      <c r="C104" s="7" t="str">
        <f t="shared" si="7"/>
        <v>31</v>
      </c>
      <c r="D104" s="8" t="s">
        <v>109</v>
      </c>
      <c r="E104" s="7" t="str">
        <f t="shared" si="8"/>
        <v>10</v>
      </c>
      <c r="F104" s="5"/>
      <c r="G104" s="5"/>
    </row>
    <row r="105" spans="1:7" x14ac:dyDescent="0.25">
      <c r="A105" s="9" t="str">
        <f t="shared" si="6"/>
        <v>01 MASTER REQUEST - SLAVE POLL</v>
      </c>
      <c r="B105" t="s">
        <v>36</v>
      </c>
      <c r="C105" s="7" t="str">
        <f t="shared" si="7"/>
        <v>10</v>
      </c>
      <c r="D105" s="8" t="s">
        <v>109</v>
      </c>
      <c r="E105" s="7" t="str">
        <f t="shared" si="8"/>
        <v>31</v>
      </c>
      <c r="F105" s="5"/>
      <c r="G105" s="5"/>
    </row>
    <row r="106" spans="1:7" x14ac:dyDescent="0.25">
      <c r="A106" s="9" t="str">
        <f t="shared" si="6"/>
        <v>95 MAGAZINE INFO - CD1 YES, CD2 YES, CD3 NO, CD4 NO, CD5 NO, CD6 NO</v>
      </c>
      <c r="B106" t="s">
        <v>37</v>
      </c>
      <c r="C106" s="7" t="str">
        <f t="shared" si="7"/>
        <v>31</v>
      </c>
      <c r="D106" s="8" t="s">
        <v>109</v>
      </c>
      <c r="E106" s="7" t="str">
        <f t="shared" si="8"/>
        <v>10</v>
      </c>
      <c r="F106" s="5"/>
      <c r="G106" s="5"/>
    </row>
    <row r="107" spans="1:7" x14ac:dyDescent="0.25">
      <c r="A107" s="9" t="str">
        <f t="shared" si="6"/>
        <v>84 REQUEST MORE TEXT FIELDS - SEND DISC INFO</v>
      </c>
      <c r="B107" t="s">
        <v>17</v>
      </c>
      <c r="C107" s="7" t="str">
        <f t="shared" si="7"/>
        <v>10</v>
      </c>
      <c r="D107" s="8" t="s">
        <v>109</v>
      </c>
      <c r="E107" s="7" t="str">
        <f t="shared" si="8"/>
        <v>31</v>
      </c>
      <c r="F107" s="5"/>
      <c r="G107" s="5"/>
    </row>
    <row r="108" spans="1:7" x14ac:dyDescent="0.25">
      <c r="A108" s="9" t="str">
        <f t="shared" si="6"/>
        <v>01 MASTER REQUEST - SLAVE POLL</v>
      </c>
      <c r="B108" t="s">
        <v>36</v>
      </c>
      <c r="C108" s="7" t="str">
        <f t="shared" si="7"/>
        <v>10</v>
      </c>
      <c r="D108" s="8" t="s">
        <v>109</v>
      </c>
      <c r="E108" s="7" t="str">
        <f t="shared" si="8"/>
        <v>31</v>
      </c>
      <c r="F108" s="5"/>
      <c r="G108" s="5"/>
    </row>
    <row r="109" spans="1:7" x14ac:dyDescent="0.25">
      <c r="A109" s="9" t="str">
        <f t="shared" si="6"/>
        <v>90 TIME- TRACK: 03, 00:00, DISC: 2</v>
      </c>
      <c r="B109" t="s">
        <v>53</v>
      </c>
      <c r="C109" s="7" t="str">
        <f t="shared" si="7"/>
        <v>31</v>
      </c>
      <c r="D109" s="8" t="s">
        <v>109</v>
      </c>
      <c r="E109" s="7" t="str">
        <f t="shared" si="8"/>
        <v>70</v>
      </c>
      <c r="F109" s="5"/>
      <c r="G109" s="5"/>
    </row>
    <row r="110" spans="1:7" x14ac:dyDescent="0.25">
      <c r="A110" s="9" t="str">
        <f t="shared" si="6"/>
        <v>01 MASTER REQUEST - SLAVE POLL</v>
      </c>
      <c r="B110" t="s">
        <v>36</v>
      </c>
      <c r="C110" s="7" t="str">
        <f t="shared" si="7"/>
        <v>10</v>
      </c>
      <c r="D110" s="8" t="s">
        <v>109</v>
      </c>
      <c r="E110" s="7" t="str">
        <f t="shared" si="8"/>
        <v>31</v>
      </c>
      <c r="F110" s="5"/>
      <c r="G110" s="5"/>
    </row>
    <row r="111" spans="1:7" x14ac:dyDescent="0.25">
      <c r="A111" s="9" t="str">
        <f t="shared" si="6"/>
        <v>97 DISC INFO - TRACKS: 69, MINS: 88, SECS: 00, DISC: 2</v>
      </c>
      <c r="B111" t="s">
        <v>38</v>
      </c>
      <c r="C111" s="7" t="str">
        <f t="shared" si="7"/>
        <v>31</v>
      </c>
      <c r="D111" s="8" t="s">
        <v>109</v>
      </c>
      <c r="E111" s="7" t="str">
        <f t="shared" si="8"/>
        <v>10</v>
      </c>
      <c r="F111" s="5"/>
      <c r="G111" s="5"/>
    </row>
    <row r="112" spans="1:7" x14ac:dyDescent="0.25">
      <c r="A112" s="9" t="str">
        <f t="shared" si="6"/>
        <v>01 MASTER REQUEST - SLAVE POLL</v>
      </c>
      <c r="B112" t="s">
        <v>36</v>
      </c>
      <c r="C112" s="7" t="str">
        <f t="shared" si="7"/>
        <v>10</v>
      </c>
      <c r="D112" s="8" t="s">
        <v>109</v>
      </c>
      <c r="E112" s="7" t="str">
        <f t="shared" si="8"/>
        <v>31</v>
      </c>
      <c r="F112" s="5"/>
      <c r="G112" s="5"/>
    </row>
    <row r="113" spans="1:7" x14ac:dyDescent="0.25">
      <c r="A113" s="9" t="str">
        <f t="shared" si="6"/>
        <v>C0 SEEKING TO - (NO PARITY2???) XCARLINK BUG, ALFA 166 ICS DOESN'T ALLOW 13 BYTE RESPONSES!</v>
      </c>
      <c r="B113" t="s">
        <v>54</v>
      </c>
      <c r="C113" s="7" t="str">
        <f t="shared" si="7"/>
        <v>31</v>
      </c>
      <c r="D113" s="8" t="s">
        <v>109</v>
      </c>
      <c r="E113" s="7" t="str">
        <f t="shared" si="8"/>
        <v>70</v>
      </c>
      <c r="F113" s="5"/>
      <c r="G113" s="5"/>
    </row>
    <row r="114" spans="1:7" x14ac:dyDescent="0.25">
      <c r="A114" s="9" t="str">
        <f t="shared" si="6"/>
        <v>01 MASTER REQUEST - SLAVE POLL</v>
      </c>
      <c r="B114" t="s">
        <v>36</v>
      </c>
      <c r="C114" s="7" t="str">
        <f t="shared" si="7"/>
        <v>10</v>
      </c>
      <c r="D114" s="8" t="s">
        <v>109</v>
      </c>
      <c r="E114" s="7" t="str">
        <f t="shared" si="8"/>
        <v>31</v>
      </c>
      <c r="F114" s="5"/>
      <c r="G114" s="5"/>
    </row>
    <row r="115" spans="1:7" x14ac:dyDescent="0.25">
      <c r="A115" s="9" t="str">
        <f t="shared" si="6"/>
        <v>97 DISC INFO - TRACKS: 69, MINS: 88, SECS: 00, DISC: 2</v>
      </c>
      <c r="B115" t="s">
        <v>38</v>
      </c>
      <c r="C115" s="7" t="str">
        <f t="shared" si="7"/>
        <v>31</v>
      </c>
      <c r="D115" s="8" t="s">
        <v>109</v>
      </c>
      <c r="E115" s="7" t="str">
        <f t="shared" si="8"/>
        <v>10</v>
      </c>
      <c r="F115" s="5"/>
      <c r="G115" s="5"/>
    </row>
    <row r="116" spans="1:7" x14ac:dyDescent="0.25">
      <c r="A116" s="9" t="str">
        <f t="shared" si="6"/>
        <v>01 MASTER REQUEST - SLAVE POLL</v>
      </c>
      <c r="B116" t="s">
        <v>36</v>
      </c>
      <c r="C116" s="7" t="str">
        <f t="shared" si="7"/>
        <v>10</v>
      </c>
      <c r="D116" s="8" t="s">
        <v>109</v>
      </c>
      <c r="E116" s="7" t="str">
        <f t="shared" si="8"/>
        <v>31</v>
      </c>
      <c r="F116" s="5"/>
      <c r="G116" s="5"/>
    </row>
    <row r="117" spans="1:7" x14ac:dyDescent="0.25">
      <c r="A117" s="9" t="str">
        <f t="shared" si="6"/>
        <v>D5 DISC IDENTIFIER</v>
      </c>
      <c r="B117" t="s">
        <v>47</v>
      </c>
      <c r="C117" s="7" t="str">
        <f t="shared" si="7"/>
        <v>31</v>
      </c>
      <c r="D117" s="8" t="s">
        <v>109</v>
      </c>
      <c r="E117" s="7" t="str">
        <f t="shared" si="8"/>
        <v>10</v>
      </c>
      <c r="F117" s="5"/>
      <c r="G117" s="5"/>
    </row>
    <row r="118" spans="1:7" x14ac:dyDescent="0.25">
      <c r="A118" s="9" t="str">
        <f t="shared" si="6"/>
        <v>01 MASTER REQUEST - SLAVE POLL</v>
      </c>
      <c r="B118" t="s">
        <v>36</v>
      </c>
      <c r="C118" s="7" t="str">
        <f t="shared" si="7"/>
        <v>10</v>
      </c>
      <c r="D118" s="8" t="s">
        <v>109</v>
      </c>
      <c r="E118" s="7" t="str">
        <f t="shared" si="8"/>
        <v>31</v>
      </c>
      <c r="F118" s="5"/>
      <c r="G118" s="5"/>
    </row>
    <row r="119" spans="1:7" x14ac:dyDescent="0.25">
      <c r="A119" s="9" t="str">
        <f t="shared" si="6"/>
        <v>90 TIME- TRACK: 03, 00:00, DISC: 2</v>
      </c>
      <c r="B119" t="s">
        <v>53</v>
      </c>
      <c r="C119" s="7" t="str">
        <f t="shared" si="7"/>
        <v>31</v>
      </c>
      <c r="D119" s="8" t="s">
        <v>109</v>
      </c>
      <c r="E119" s="7" t="str">
        <f t="shared" si="8"/>
        <v>70</v>
      </c>
      <c r="F119" s="5"/>
      <c r="G119" s="5"/>
    </row>
    <row r="120" spans="1:7" x14ac:dyDescent="0.25">
      <c r="A120" s="9" t="str">
        <f t="shared" si="6"/>
        <v>84 REQUEST MORE TEXT FIELDS - SEND MAGAZINE INFO</v>
      </c>
      <c r="B120" t="s">
        <v>14</v>
      </c>
      <c r="C120" s="7" t="str">
        <f t="shared" si="7"/>
        <v>10</v>
      </c>
      <c r="D120" s="8" t="s">
        <v>109</v>
      </c>
      <c r="E120" s="7" t="str">
        <f t="shared" si="8"/>
        <v>31</v>
      </c>
      <c r="F120" s="5"/>
      <c r="G120" s="5"/>
    </row>
    <row r="121" spans="1:7" x14ac:dyDescent="0.25">
      <c r="A121" s="9" t="str">
        <f t="shared" si="6"/>
        <v>01 MASTER REQUEST - TIME POLL</v>
      </c>
      <c r="B121" t="s">
        <v>34</v>
      </c>
      <c r="C121" s="7" t="str">
        <f t="shared" si="7"/>
        <v>10</v>
      </c>
      <c r="D121" s="8" t="s">
        <v>109</v>
      </c>
      <c r="E121" s="7" t="str">
        <f t="shared" si="8"/>
        <v>31</v>
      </c>
      <c r="F121" s="5"/>
      <c r="G121" s="5"/>
    </row>
    <row r="122" spans="1:7" x14ac:dyDescent="0.25">
      <c r="A122" s="9" t="str">
        <f t="shared" si="6"/>
        <v>00 STATUS - PLAYING</v>
      </c>
      <c r="B122" t="s">
        <v>35</v>
      </c>
      <c r="C122" s="7" t="str">
        <f t="shared" si="7"/>
        <v>31</v>
      </c>
      <c r="D122" s="8" t="s">
        <v>109</v>
      </c>
      <c r="E122" s="7" t="str">
        <f t="shared" si="8"/>
        <v>10</v>
      </c>
      <c r="F122" s="5"/>
      <c r="G122" s="5"/>
    </row>
    <row r="123" spans="1:7" x14ac:dyDescent="0.25">
      <c r="A123" s="9" t="str">
        <f t="shared" si="6"/>
        <v>84 REQUEST MORE TEXT FIELDS - SEND DISC INFO</v>
      </c>
      <c r="B123" t="s">
        <v>17</v>
      </c>
      <c r="C123" s="7" t="str">
        <f t="shared" si="7"/>
        <v>10</v>
      </c>
      <c r="D123" s="8" t="s">
        <v>109</v>
      </c>
      <c r="E123" s="7" t="str">
        <f t="shared" si="8"/>
        <v>31</v>
      </c>
      <c r="F123" s="5"/>
      <c r="G123" s="5"/>
    </row>
    <row r="124" spans="1:7" x14ac:dyDescent="0.25">
      <c r="A124" s="9" t="str">
        <f t="shared" si="6"/>
        <v>01 MASTER REQUEST - SLAVE POLL</v>
      </c>
      <c r="B124" t="s">
        <v>36</v>
      </c>
      <c r="C124" s="7" t="str">
        <f t="shared" si="7"/>
        <v>10</v>
      </c>
      <c r="D124" s="8" t="s">
        <v>109</v>
      </c>
      <c r="E124" s="7" t="str">
        <f t="shared" si="8"/>
        <v>31</v>
      </c>
      <c r="F124" s="5"/>
      <c r="G124" s="5"/>
    </row>
    <row r="125" spans="1:7" x14ac:dyDescent="0.25">
      <c r="A125" s="9" t="str">
        <f t="shared" si="6"/>
        <v>95 MAGAZINE INFO - CD1 YES, CD2 YES, CD3 NO, CD4 NO, CD5 NO, CD6 NO</v>
      </c>
      <c r="B125" t="s">
        <v>37</v>
      </c>
      <c r="C125" s="7" t="str">
        <f t="shared" si="7"/>
        <v>31</v>
      </c>
      <c r="D125" s="8" t="s">
        <v>109</v>
      </c>
      <c r="E125" s="7" t="str">
        <f t="shared" si="8"/>
        <v>10</v>
      </c>
      <c r="F125" s="5"/>
      <c r="G125" s="5"/>
    </row>
    <row r="126" spans="1:7" x14ac:dyDescent="0.25">
      <c r="A126" s="9" t="str">
        <f t="shared" si="6"/>
        <v>01 MASTER REQUEST - SLAVE POLL</v>
      </c>
      <c r="B126" t="s">
        <v>36</v>
      </c>
      <c r="C126" s="7" t="str">
        <f t="shared" si="7"/>
        <v>10</v>
      </c>
      <c r="D126" s="8" t="s">
        <v>109</v>
      </c>
      <c r="E126" s="7" t="str">
        <f t="shared" si="8"/>
        <v>31</v>
      </c>
      <c r="F126" s="5"/>
      <c r="G126" s="5"/>
    </row>
    <row r="127" spans="1:7" x14ac:dyDescent="0.25">
      <c r="A127" s="9" t="str">
        <f t="shared" si="6"/>
        <v>97 DISC INFO - TRACKS: 69, MINS: 88, SECS: 00, DISC: 2</v>
      </c>
      <c r="B127" t="s">
        <v>38</v>
      </c>
      <c r="C127" s="7" t="str">
        <f t="shared" si="7"/>
        <v>31</v>
      </c>
      <c r="D127" s="8" t="s">
        <v>109</v>
      </c>
      <c r="E127" s="7" t="str">
        <f t="shared" si="8"/>
        <v>10</v>
      </c>
      <c r="F127" s="5"/>
      <c r="G127" s="5"/>
    </row>
    <row r="128" spans="1:7" x14ac:dyDescent="0.25">
      <c r="A128" s="9" t="str">
        <f t="shared" si="6"/>
        <v>01 MASTER REQUEST - SLAVE POLL</v>
      </c>
      <c r="B128" t="s">
        <v>36</v>
      </c>
      <c r="C128" s="7" t="str">
        <f t="shared" si="7"/>
        <v>10</v>
      </c>
      <c r="D128" s="8" t="s">
        <v>109</v>
      </c>
      <c r="E128" s="7" t="str">
        <f t="shared" si="8"/>
        <v>31</v>
      </c>
      <c r="F128" s="5"/>
      <c r="G128" s="5"/>
    </row>
    <row r="129" spans="1:7" x14ac:dyDescent="0.25">
      <c r="A129" s="9" t="str">
        <f t="shared" si="6"/>
        <v>90 TIME- TRACK: 03, 00:01, DISC: 2</v>
      </c>
      <c r="B129" t="s">
        <v>55</v>
      </c>
      <c r="C129" s="7" t="str">
        <f t="shared" si="7"/>
        <v>31</v>
      </c>
      <c r="D129" s="8" t="s">
        <v>109</v>
      </c>
      <c r="E129" s="7" t="str">
        <f t="shared" si="8"/>
        <v>70</v>
      </c>
      <c r="F129" s="5"/>
      <c r="G129" s="5"/>
    </row>
    <row r="130" spans="1:7" x14ac:dyDescent="0.25">
      <c r="A130" s="9" t="str">
        <f t="shared" si="6"/>
        <v>01 MASTER REQUEST - SLAVE POLL</v>
      </c>
      <c r="B130" t="s">
        <v>36</v>
      </c>
      <c r="C130" s="7" t="str">
        <f t="shared" si="7"/>
        <v>10</v>
      </c>
      <c r="D130" s="8" t="s">
        <v>109</v>
      </c>
      <c r="E130" s="7" t="str">
        <f t="shared" si="8"/>
        <v>31</v>
      </c>
      <c r="F130" s="5"/>
      <c r="G130" s="5"/>
    </row>
    <row r="131" spans="1:7" x14ac:dyDescent="0.25">
      <c r="A131" s="9" t="str">
        <f t="shared" ref="A131:A194" si="9">ParseUnilink(B131)</f>
        <v>00 STATUS - PLAYING</v>
      </c>
      <c r="B131" t="s">
        <v>35</v>
      </c>
      <c r="C131" s="7" t="str">
        <f t="shared" ref="C131:C194" si="10">MID(B131,4,2)</f>
        <v>31</v>
      </c>
      <c r="D131" s="8" t="s">
        <v>109</v>
      </c>
      <c r="E131" s="7" t="str">
        <f t="shared" ref="E131:E194" si="11">MID(B131,1,2)</f>
        <v>10</v>
      </c>
      <c r="F131" s="5"/>
      <c r="G131" s="5"/>
    </row>
    <row r="132" spans="1:7" x14ac:dyDescent="0.25">
      <c r="A132" s="9" t="str">
        <f t="shared" si="9"/>
        <v>84 REQUEST MORE TEXT FIELDS - SEND MAGAZINE INFO</v>
      </c>
      <c r="B132" t="s">
        <v>14</v>
      </c>
      <c r="C132" s="7" t="str">
        <f t="shared" si="10"/>
        <v>10</v>
      </c>
      <c r="D132" s="8" t="s">
        <v>109</v>
      </c>
      <c r="E132" s="7" t="str">
        <f t="shared" si="11"/>
        <v>31</v>
      </c>
      <c r="F132" s="5"/>
      <c r="G132" s="5"/>
    </row>
    <row r="133" spans="1:7" x14ac:dyDescent="0.25">
      <c r="A133" s="9" t="str">
        <f t="shared" si="9"/>
        <v>01 MASTER REQUEST - TIME POLL</v>
      </c>
      <c r="B133" t="s">
        <v>34</v>
      </c>
      <c r="C133" s="7" t="str">
        <f t="shared" si="10"/>
        <v>10</v>
      </c>
      <c r="D133" s="8" t="s">
        <v>109</v>
      </c>
      <c r="E133" s="7" t="str">
        <f t="shared" si="11"/>
        <v>31</v>
      </c>
      <c r="F133" s="5"/>
      <c r="G133" s="5"/>
    </row>
    <row r="134" spans="1:7" x14ac:dyDescent="0.25">
      <c r="A134" s="9" t="str">
        <f t="shared" si="9"/>
        <v>00 STATUS - PLAYING</v>
      </c>
      <c r="B134" t="s">
        <v>35</v>
      </c>
      <c r="C134" s="7" t="str">
        <f t="shared" si="10"/>
        <v>31</v>
      </c>
      <c r="D134" s="8" t="s">
        <v>109</v>
      </c>
      <c r="E134" s="7" t="str">
        <f t="shared" si="11"/>
        <v>10</v>
      </c>
      <c r="F134" s="5"/>
      <c r="G134" s="5"/>
    </row>
    <row r="135" spans="1:7" x14ac:dyDescent="0.25">
      <c r="A135" s="9" t="str">
        <f t="shared" si="9"/>
        <v>84 REQUEST MORE TEXT FIELDS - SEND DISC INFO</v>
      </c>
      <c r="B135" t="s">
        <v>17</v>
      </c>
      <c r="C135" s="7" t="str">
        <f t="shared" si="10"/>
        <v>10</v>
      </c>
      <c r="D135" s="8" t="s">
        <v>109</v>
      </c>
      <c r="E135" s="7" t="str">
        <f t="shared" si="11"/>
        <v>31</v>
      </c>
      <c r="F135" s="5"/>
      <c r="G135" s="5"/>
    </row>
    <row r="136" spans="1:7" x14ac:dyDescent="0.25">
      <c r="A136" s="9" t="str">
        <f t="shared" si="9"/>
        <v>01 MASTER REQUEST - SLAVE POLL</v>
      </c>
      <c r="B136" t="s">
        <v>36</v>
      </c>
      <c r="C136" s="7" t="str">
        <f t="shared" si="10"/>
        <v>10</v>
      </c>
      <c r="D136" s="8" t="s">
        <v>109</v>
      </c>
      <c r="E136" s="7" t="str">
        <f t="shared" si="11"/>
        <v>31</v>
      </c>
      <c r="F136" s="5"/>
      <c r="G136" s="5"/>
    </row>
    <row r="137" spans="1:7" x14ac:dyDescent="0.25">
      <c r="A137" s="9" t="str">
        <f t="shared" si="9"/>
        <v>95 MAGAZINE INFO - CD1 YES, CD2 YES, CD3 NO, CD4 NO, CD5 NO, CD6 NO</v>
      </c>
      <c r="B137" t="s">
        <v>37</v>
      </c>
      <c r="C137" s="7" t="str">
        <f t="shared" si="10"/>
        <v>31</v>
      </c>
      <c r="D137" s="8" t="s">
        <v>109</v>
      </c>
      <c r="E137" s="7" t="str">
        <f t="shared" si="11"/>
        <v>10</v>
      </c>
      <c r="F137" s="5"/>
      <c r="G137" s="5"/>
    </row>
    <row r="138" spans="1:7" x14ac:dyDescent="0.25">
      <c r="A138" s="9" t="str">
        <f t="shared" si="9"/>
        <v>01 MASTER REQUEST - SLAVE POLL</v>
      </c>
      <c r="B138" t="s">
        <v>36</v>
      </c>
      <c r="C138" s="7" t="str">
        <f t="shared" si="10"/>
        <v>10</v>
      </c>
      <c r="D138" s="8" t="s">
        <v>109</v>
      </c>
      <c r="E138" s="7" t="str">
        <f t="shared" si="11"/>
        <v>31</v>
      </c>
      <c r="F138" s="5"/>
      <c r="G138" s="5"/>
    </row>
    <row r="139" spans="1:7" x14ac:dyDescent="0.25">
      <c r="A139" s="9" t="str">
        <f t="shared" si="9"/>
        <v>97 DISC INFO - TRACKS: 69, MINS: 88, SECS: 00, DISC: 2</v>
      </c>
      <c r="B139" t="s">
        <v>38</v>
      </c>
      <c r="C139" s="7" t="str">
        <f t="shared" si="10"/>
        <v>31</v>
      </c>
      <c r="D139" s="8" t="s">
        <v>109</v>
      </c>
      <c r="E139" s="7" t="str">
        <f t="shared" si="11"/>
        <v>10</v>
      </c>
      <c r="F139" s="5"/>
      <c r="G139" s="5"/>
    </row>
    <row r="140" spans="1:7" x14ac:dyDescent="0.25">
      <c r="A140" s="9" t="str">
        <f t="shared" si="9"/>
        <v>01 MASTER REQUEST - SLAVE POLL</v>
      </c>
      <c r="B140" t="s">
        <v>36</v>
      </c>
      <c r="C140" s="7" t="str">
        <f t="shared" si="10"/>
        <v>10</v>
      </c>
      <c r="D140" s="8" t="s">
        <v>109</v>
      </c>
      <c r="E140" s="7" t="str">
        <f t="shared" si="11"/>
        <v>31</v>
      </c>
      <c r="F140" s="5"/>
      <c r="G140" s="5"/>
    </row>
    <row r="141" spans="1:7" x14ac:dyDescent="0.25">
      <c r="A141" s="9" t="str">
        <f t="shared" si="9"/>
        <v>90 TIME- TRACK: 03, 00:02, DISC: 2</v>
      </c>
      <c r="B141" t="s">
        <v>56</v>
      </c>
      <c r="C141" s="7" t="str">
        <f t="shared" si="10"/>
        <v>31</v>
      </c>
      <c r="D141" s="8" t="s">
        <v>109</v>
      </c>
      <c r="E141" s="7" t="str">
        <f t="shared" si="11"/>
        <v>70</v>
      </c>
      <c r="F141" s="5"/>
      <c r="G141" s="5"/>
    </row>
    <row r="142" spans="1:7" x14ac:dyDescent="0.25">
      <c r="A142" s="9" t="str">
        <f t="shared" si="9"/>
        <v>84 REQUEST MORE TEXT FIELDS - SEND MAGAZINE INFO</v>
      </c>
      <c r="B142" t="s">
        <v>14</v>
      </c>
      <c r="C142" s="7" t="str">
        <f t="shared" si="10"/>
        <v>10</v>
      </c>
      <c r="D142" s="8" t="s">
        <v>109</v>
      </c>
      <c r="E142" s="7" t="str">
        <f t="shared" si="11"/>
        <v>31</v>
      </c>
      <c r="F142" s="5"/>
      <c r="G142" s="5"/>
    </row>
    <row r="143" spans="1:7" x14ac:dyDescent="0.25">
      <c r="A143" s="9" t="str">
        <f t="shared" si="9"/>
        <v>01 MASTER REQUEST - TIME POLL</v>
      </c>
      <c r="B143" t="s">
        <v>34</v>
      </c>
      <c r="C143" s="7" t="str">
        <f t="shared" si="10"/>
        <v>10</v>
      </c>
      <c r="D143" s="8" t="s">
        <v>109</v>
      </c>
      <c r="E143" s="7" t="str">
        <f t="shared" si="11"/>
        <v>31</v>
      </c>
      <c r="F143" s="5"/>
      <c r="G143" s="5"/>
    </row>
    <row r="144" spans="1:7" x14ac:dyDescent="0.25">
      <c r="A144" s="9" t="str">
        <f t="shared" si="9"/>
        <v>00 STATUS - PLAYING</v>
      </c>
      <c r="B144" t="s">
        <v>35</v>
      </c>
      <c r="C144" s="7" t="str">
        <f t="shared" si="10"/>
        <v>31</v>
      </c>
      <c r="D144" s="8" t="s">
        <v>109</v>
      </c>
      <c r="E144" s="7" t="str">
        <f t="shared" si="11"/>
        <v>10</v>
      </c>
      <c r="F144" s="5"/>
      <c r="G144" s="5"/>
    </row>
    <row r="145" spans="1:7" x14ac:dyDescent="0.25">
      <c r="A145" s="9" t="str">
        <f t="shared" si="9"/>
        <v>84 REQUEST MORE TEXT FIELDS - SEND DISC INFO</v>
      </c>
      <c r="B145" t="s">
        <v>17</v>
      </c>
      <c r="C145" s="7" t="str">
        <f t="shared" si="10"/>
        <v>10</v>
      </c>
      <c r="D145" s="8" t="s">
        <v>109</v>
      </c>
      <c r="E145" s="7" t="str">
        <f t="shared" si="11"/>
        <v>31</v>
      </c>
      <c r="F145" s="5"/>
      <c r="G145" s="5"/>
    </row>
    <row r="146" spans="1:7" x14ac:dyDescent="0.25">
      <c r="A146" s="9" t="str">
        <f t="shared" si="9"/>
        <v>B0 CHANGE TO DISC 1, TRACK 00</v>
      </c>
      <c r="B146" t="s">
        <v>57</v>
      </c>
      <c r="C146" s="7" t="str">
        <f t="shared" si="10"/>
        <v>11</v>
      </c>
      <c r="D146" s="8" t="s">
        <v>109</v>
      </c>
      <c r="E146" s="7" t="str">
        <f t="shared" si="11"/>
        <v>31</v>
      </c>
      <c r="F146" s="5"/>
      <c r="G146" s="5"/>
    </row>
    <row r="147" spans="1:7" x14ac:dyDescent="0.25">
      <c r="A147" s="9" t="str">
        <f t="shared" si="9"/>
        <v>01 MASTER REQUEST - SLAVE POLL</v>
      </c>
      <c r="B147" t="s">
        <v>36</v>
      </c>
      <c r="C147" s="7" t="str">
        <f t="shared" si="10"/>
        <v>10</v>
      </c>
      <c r="D147" s="8" t="s">
        <v>109</v>
      </c>
      <c r="E147" s="7" t="str">
        <f t="shared" si="11"/>
        <v>31</v>
      </c>
      <c r="F147" s="5"/>
      <c r="G147" s="5"/>
    </row>
    <row r="148" spans="1:7" x14ac:dyDescent="0.25">
      <c r="A148" s="9" t="str">
        <f t="shared" si="9"/>
        <v>C0 SEEKING TO - (NO PARITY2???) XCARLINK BUG, ALFA 166 ICS DOESN'T ALLOW 13 BYTE RESPONSES!</v>
      </c>
      <c r="B148" t="s">
        <v>58</v>
      </c>
      <c r="C148" s="7" t="str">
        <f t="shared" si="10"/>
        <v>31</v>
      </c>
      <c r="D148" s="8" t="s">
        <v>109</v>
      </c>
      <c r="E148" s="7" t="str">
        <f t="shared" si="11"/>
        <v>77</v>
      </c>
      <c r="F148" s="5"/>
      <c r="G148" s="5"/>
    </row>
    <row r="149" spans="1:7" x14ac:dyDescent="0.25">
      <c r="A149" s="9" t="str">
        <f t="shared" si="9"/>
        <v>01 MASTER REQUEST - SLAVE POLL</v>
      </c>
      <c r="B149" t="s">
        <v>36</v>
      </c>
      <c r="C149" s="7" t="str">
        <f t="shared" si="10"/>
        <v>10</v>
      </c>
      <c r="D149" s="8" t="s">
        <v>109</v>
      </c>
      <c r="E149" s="7" t="str">
        <f t="shared" si="11"/>
        <v>31</v>
      </c>
      <c r="F149" s="5"/>
      <c r="G149" s="5"/>
    </row>
    <row r="150" spans="1:7" x14ac:dyDescent="0.25">
      <c r="A150" s="9" t="str">
        <f t="shared" si="9"/>
        <v>00 STATUS - PLAYING</v>
      </c>
      <c r="B150" t="s">
        <v>35</v>
      </c>
      <c r="C150" s="7" t="str">
        <f t="shared" si="10"/>
        <v>31</v>
      </c>
      <c r="D150" s="8" t="s">
        <v>109</v>
      </c>
      <c r="E150" s="7" t="str">
        <f t="shared" si="11"/>
        <v>10</v>
      </c>
      <c r="F150" s="5"/>
      <c r="G150" s="5"/>
    </row>
    <row r="151" spans="1:7" x14ac:dyDescent="0.25">
      <c r="A151" s="9" t="str">
        <f t="shared" si="9"/>
        <v>84 REQUEST MORE TEXT FIELDS - SEND MAGAZINE INFO</v>
      </c>
      <c r="B151" t="s">
        <v>14</v>
      </c>
      <c r="C151" s="7" t="str">
        <f t="shared" si="10"/>
        <v>10</v>
      </c>
      <c r="D151" s="8" t="s">
        <v>109</v>
      </c>
      <c r="E151" s="7" t="str">
        <f t="shared" si="11"/>
        <v>31</v>
      </c>
      <c r="F151" s="5"/>
      <c r="G151" s="5"/>
    </row>
    <row r="152" spans="1:7" x14ac:dyDescent="0.25">
      <c r="A152" s="9" t="str">
        <f t="shared" si="9"/>
        <v>01 MASTER REQUEST - TIME POLL</v>
      </c>
      <c r="B152" t="s">
        <v>34</v>
      </c>
      <c r="C152" s="7" t="str">
        <f t="shared" si="10"/>
        <v>10</v>
      </c>
      <c r="D152" s="8" t="s">
        <v>109</v>
      </c>
      <c r="E152" s="7" t="str">
        <f t="shared" si="11"/>
        <v>31</v>
      </c>
      <c r="F152" s="5"/>
      <c r="G152" s="5"/>
    </row>
    <row r="153" spans="1:7" x14ac:dyDescent="0.25">
      <c r="A153" s="9" t="str">
        <f t="shared" si="9"/>
        <v>00 STATUS - PLAYING</v>
      </c>
      <c r="B153" t="s">
        <v>35</v>
      </c>
      <c r="C153" s="7" t="str">
        <f t="shared" si="10"/>
        <v>31</v>
      </c>
      <c r="D153" s="8" t="s">
        <v>109</v>
      </c>
      <c r="E153" s="7" t="str">
        <f t="shared" si="11"/>
        <v>10</v>
      </c>
      <c r="F153" s="5"/>
      <c r="G153" s="5"/>
    </row>
    <row r="154" spans="1:7" x14ac:dyDescent="0.25">
      <c r="A154" s="9" t="str">
        <f t="shared" si="9"/>
        <v>84 REQUEST MORE TEXT FIELDS - SEND DISC INFO</v>
      </c>
      <c r="B154" t="s">
        <v>17</v>
      </c>
      <c r="C154" s="7" t="str">
        <f t="shared" si="10"/>
        <v>10</v>
      </c>
      <c r="D154" s="8" t="s">
        <v>109</v>
      </c>
      <c r="E154" s="7" t="str">
        <f t="shared" si="11"/>
        <v>31</v>
      </c>
      <c r="F154" s="5"/>
      <c r="G154" s="5"/>
    </row>
    <row r="155" spans="1:7" x14ac:dyDescent="0.25">
      <c r="A155" s="9" t="str">
        <f t="shared" si="9"/>
        <v>01 MASTER REQUEST - SLAVE POLL</v>
      </c>
      <c r="B155" t="s">
        <v>36</v>
      </c>
      <c r="C155" s="7" t="str">
        <f t="shared" si="10"/>
        <v>10</v>
      </c>
      <c r="D155" s="8" t="s">
        <v>109</v>
      </c>
      <c r="E155" s="7" t="str">
        <f t="shared" si="11"/>
        <v>31</v>
      </c>
      <c r="F155" s="5"/>
      <c r="G155" s="5"/>
    </row>
    <row r="156" spans="1:7" x14ac:dyDescent="0.25">
      <c r="A156" s="9" t="str">
        <f t="shared" si="9"/>
        <v>95 MAGAZINE INFO - CD1 YES, CD2 YES, CD3 NO, CD4 NO, CD5 NO, CD6 NO</v>
      </c>
      <c r="B156" t="s">
        <v>37</v>
      </c>
      <c r="C156" s="7" t="str">
        <f t="shared" si="10"/>
        <v>31</v>
      </c>
      <c r="D156" s="8" t="s">
        <v>109</v>
      </c>
      <c r="E156" s="7" t="str">
        <f t="shared" si="11"/>
        <v>10</v>
      </c>
      <c r="F156" s="5"/>
      <c r="G156" s="5"/>
    </row>
    <row r="157" spans="1:7" x14ac:dyDescent="0.25">
      <c r="A157" s="9" t="str">
        <f t="shared" si="9"/>
        <v>01 MASTER REQUEST - SLAVE POLL</v>
      </c>
      <c r="B157" t="s">
        <v>36</v>
      </c>
      <c r="C157" s="7" t="str">
        <f t="shared" si="10"/>
        <v>10</v>
      </c>
      <c r="D157" s="8" t="s">
        <v>109</v>
      </c>
      <c r="E157" s="7" t="str">
        <f t="shared" si="11"/>
        <v>31</v>
      </c>
      <c r="F157" s="5"/>
      <c r="G157" s="5"/>
    </row>
    <row r="158" spans="1:7" x14ac:dyDescent="0.25">
      <c r="A158" s="9" t="str">
        <f t="shared" si="9"/>
        <v>97 DISC INFO - TRACKS: 77, MINS: 88, SECS: 00, DISC: 1</v>
      </c>
      <c r="B158" t="s">
        <v>22</v>
      </c>
      <c r="C158" s="7" t="str">
        <f t="shared" si="10"/>
        <v>31</v>
      </c>
      <c r="D158" s="8" t="s">
        <v>109</v>
      </c>
      <c r="E158" s="7" t="str">
        <f t="shared" si="11"/>
        <v>10</v>
      </c>
      <c r="F158" s="5"/>
      <c r="G158" s="5"/>
    </row>
    <row r="159" spans="1:7" x14ac:dyDescent="0.25">
      <c r="A159" s="9" t="str">
        <f t="shared" si="9"/>
        <v>01 MASTER REQUEST - SLAVE POLL</v>
      </c>
      <c r="B159" t="s">
        <v>36</v>
      </c>
      <c r="C159" s="7" t="str">
        <f t="shared" si="10"/>
        <v>10</v>
      </c>
      <c r="D159" s="8" t="s">
        <v>109</v>
      </c>
      <c r="E159" s="7" t="str">
        <f t="shared" si="11"/>
        <v>31</v>
      </c>
      <c r="F159" s="5"/>
      <c r="G159" s="5"/>
    </row>
    <row r="160" spans="1:7" x14ac:dyDescent="0.25">
      <c r="A160" s="9" t="str">
        <f t="shared" si="9"/>
        <v>C0 SEEKING TO - (NO PARITY2???) XCARLINK BUG, ALFA 166 ICS DOESN'T ALLOW 13 BYTE RESPONSES!</v>
      </c>
      <c r="B160" t="s">
        <v>59</v>
      </c>
      <c r="C160" s="7" t="str">
        <f t="shared" si="10"/>
        <v>31</v>
      </c>
      <c r="D160" s="8" t="s">
        <v>109</v>
      </c>
      <c r="E160" s="7" t="str">
        <f t="shared" si="11"/>
        <v>70</v>
      </c>
      <c r="F160" s="5"/>
      <c r="G160" s="5"/>
    </row>
    <row r="161" spans="1:7" x14ac:dyDescent="0.25">
      <c r="A161" s="9" t="str">
        <f t="shared" si="9"/>
        <v>01 MASTER REQUEST - SLAVE POLL</v>
      </c>
      <c r="B161" t="s">
        <v>36</v>
      </c>
      <c r="C161" s="7" t="str">
        <f t="shared" si="10"/>
        <v>10</v>
      </c>
      <c r="D161" s="8" t="s">
        <v>109</v>
      </c>
      <c r="E161" s="7" t="str">
        <f t="shared" si="11"/>
        <v>31</v>
      </c>
      <c r="F161" s="5"/>
      <c r="G161" s="5"/>
    </row>
    <row r="162" spans="1:7" x14ac:dyDescent="0.25">
      <c r="A162" s="9" t="str">
        <f t="shared" si="9"/>
        <v>97 DISC INFO - TRACKS: 77, MINS: 88, SECS: 00, DISC: 1</v>
      </c>
      <c r="B162" t="s">
        <v>22</v>
      </c>
      <c r="C162" s="7" t="str">
        <f t="shared" si="10"/>
        <v>31</v>
      </c>
      <c r="D162" s="8" t="s">
        <v>109</v>
      </c>
      <c r="E162" s="7" t="str">
        <f t="shared" si="11"/>
        <v>10</v>
      </c>
      <c r="F162" s="5"/>
      <c r="G162" s="5"/>
    </row>
    <row r="163" spans="1:7" x14ac:dyDescent="0.25">
      <c r="A163" s="9" t="str">
        <f t="shared" si="9"/>
        <v>01 MASTER REQUEST - SLAVE POLL</v>
      </c>
      <c r="B163" t="s">
        <v>36</v>
      </c>
      <c r="C163" s="7" t="str">
        <f t="shared" si="10"/>
        <v>10</v>
      </c>
      <c r="D163" s="8" t="s">
        <v>109</v>
      </c>
      <c r="E163" s="7" t="str">
        <f t="shared" si="11"/>
        <v>31</v>
      </c>
      <c r="F163" s="5"/>
      <c r="G163" s="5"/>
    </row>
    <row r="164" spans="1:7" x14ac:dyDescent="0.25">
      <c r="A164" s="9" t="str">
        <f t="shared" si="9"/>
        <v>D5 DISC IDENTIFIER</v>
      </c>
      <c r="B164" t="s">
        <v>23</v>
      </c>
      <c r="C164" s="7" t="str">
        <f t="shared" si="10"/>
        <v>31</v>
      </c>
      <c r="D164" s="8" t="s">
        <v>109</v>
      </c>
      <c r="E164" s="7" t="str">
        <f t="shared" si="11"/>
        <v>10</v>
      </c>
      <c r="F164" s="5"/>
      <c r="G164" s="5"/>
    </row>
    <row r="165" spans="1:7" x14ac:dyDescent="0.25">
      <c r="A165" s="9" t="str">
        <f t="shared" si="9"/>
        <v>01 MASTER REQUEST - SLAVE POLL</v>
      </c>
      <c r="B165" t="s">
        <v>36</v>
      </c>
      <c r="C165" s="7" t="str">
        <f t="shared" si="10"/>
        <v>10</v>
      </c>
      <c r="D165" s="8" t="s">
        <v>109</v>
      </c>
      <c r="E165" s="7" t="str">
        <f t="shared" si="11"/>
        <v>31</v>
      </c>
      <c r="F165" s="5"/>
      <c r="G165" s="5"/>
    </row>
    <row r="166" spans="1:7" x14ac:dyDescent="0.25">
      <c r="A166" s="9" t="str">
        <f t="shared" si="9"/>
        <v>90 TIME- TRACK: 01, 00:00, DISC: 1</v>
      </c>
      <c r="B166" t="s">
        <v>60</v>
      </c>
      <c r="C166" s="7" t="str">
        <f t="shared" si="10"/>
        <v>31</v>
      </c>
      <c r="D166" s="8" t="s">
        <v>109</v>
      </c>
      <c r="E166" s="7" t="str">
        <f t="shared" si="11"/>
        <v>70</v>
      </c>
      <c r="F166" s="5"/>
      <c r="G166" s="5"/>
    </row>
    <row r="167" spans="1:7" x14ac:dyDescent="0.25">
      <c r="A167" s="9" t="str">
        <f t="shared" si="9"/>
        <v>84 REQUEST MORE TEXT FIELDS - SEND MAGAZINE INFO</v>
      </c>
      <c r="B167" t="s">
        <v>14</v>
      </c>
      <c r="C167" s="7" t="str">
        <f t="shared" si="10"/>
        <v>10</v>
      </c>
      <c r="D167" s="8" t="s">
        <v>109</v>
      </c>
      <c r="E167" s="7" t="str">
        <f t="shared" si="11"/>
        <v>31</v>
      </c>
      <c r="F167" s="5"/>
      <c r="G167" s="5"/>
    </row>
    <row r="168" spans="1:7" x14ac:dyDescent="0.25">
      <c r="A168" s="9" t="str">
        <f t="shared" si="9"/>
        <v>01 MASTER REQUEST - TIME POLL</v>
      </c>
      <c r="B168" t="s">
        <v>34</v>
      </c>
      <c r="C168" s="7" t="str">
        <f t="shared" si="10"/>
        <v>10</v>
      </c>
      <c r="D168" s="8" t="s">
        <v>109</v>
      </c>
      <c r="E168" s="7" t="str">
        <f t="shared" si="11"/>
        <v>31</v>
      </c>
      <c r="F168" s="5"/>
      <c r="G168" s="5"/>
    </row>
    <row r="169" spans="1:7" x14ac:dyDescent="0.25">
      <c r="A169" s="9" t="str">
        <f t="shared" si="9"/>
        <v>00 STATUS - PLAYING</v>
      </c>
      <c r="B169" t="s">
        <v>35</v>
      </c>
      <c r="C169" s="7" t="str">
        <f t="shared" si="10"/>
        <v>31</v>
      </c>
      <c r="D169" s="8" t="s">
        <v>109</v>
      </c>
      <c r="E169" s="7" t="str">
        <f t="shared" si="11"/>
        <v>10</v>
      </c>
      <c r="F169" s="5"/>
      <c r="G169" s="5"/>
    </row>
    <row r="170" spans="1:7" x14ac:dyDescent="0.25">
      <c r="A170" s="9" t="str">
        <f t="shared" si="9"/>
        <v>84 REQUEST MORE TEXT FIELDS - SEND DISC INFO</v>
      </c>
      <c r="B170" t="s">
        <v>17</v>
      </c>
      <c r="C170" s="7" t="str">
        <f t="shared" si="10"/>
        <v>10</v>
      </c>
      <c r="D170" s="8" t="s">
        <v>109</v>
      </c>
      <c r="E170" s="7" t="str">
        <f t="shared" si="11"/>
        <v>31</v>
      </c>
      <c r="F170" s="5"/>
      <c r="G170" s="5"/>
    </row>
    <row r="171" spans="1:7" x14ac:dyDescent="0.25">
      <c r="A171" s="9" t="str">
        <f t="shared" si="9"/>
        <v>01 MASTER REQUEST - SLAVE POLL</v>
      </c>
      <c r="B171" t="s">
        <v>36</v>
      </c>
      <c r="C171" s="7" t="str">
        <f t="shared" si="10"/>
        <v>10</v>
      </c>
      <c r="D171" s="8" t="s">
        <v>109</v>
      </c>
      <c r="E171" s="7" t="str">
        <f t="shared" si="11"/>
        <v>31</v>
      </c>
      <c r="F171" s="5"/>
      <c r="G171" s="5"/>
    </row>
    <row r="172" spans="1:7" x14ac:dyDescent="0.25">
      <c r="A172" s="9" t="str">
        <f t="shared" si="9"/>
        <v>95 MAGAZINE INFO - CD1 YES, CD2 YES, CD3 NO, CD4 NO, CD5 NO, CD6 NO</v>
      </c>
      <c r="B172" t="s">
        <v>37</v>
      </c>
      <c r="C172" s="7" t="str">
        <f t="shared" si="10"/>
        <v>31</v>
      </c>
      <c r="D172" s="8" t="s">
        <v>109</v>
      </c>
      <c r="E172" s="7" t="str">
        <f t="shared" si="11"/>
        <v>10</v>
      </c>
      <c r="F172" s="5"/>
      <c r="G172" s="5"/>
    </row>
    <row r="173" spans="1:7" x14ac:dyDescent="0.25">
      <c r="A173" s="9" t="str">
        <f t="shared" si="9"/>
        <v>01 MASTER REQUEST - SLAVE POLL</v>
      </c>
      <c r="B173" t="s">
        <v>36</v>
      </c>
      <c r="C173" s="7" t="str">
        <f t="shared" si="10"/>
        <v>10</v>
      </c>
      <c r="D173" s="8" t="s">
        <v>109</v>
      </c>
      <c r="E173" s="7" t="str">
        <f t="shared" si="11"/>
        <v>31</v>
      </c>
      <c r="F173" s="5"/>
      <c r="G173" s="5"/>
    </row>
    <row r="174" spans="1:7" x14ac:dyDescent="0.25">
      <c r="A174" s="9" t="str">
        <f t="shared" si="9"/>
        <v>97 DISC INFO - TRACKS: 77, MINS: 88, SECS: 00, DISC: 1</v>
      </c>
      <c r="B174" t="s">
        <v>22</v>
      </c>
      <c r="C174" s="7" t="str">
        <f t="shared" si="10"/>
        <v>31</v>
      </c>
      <c r="D174" s="8" t="s">
        <v>109</v>
      </c>
      <c r="E174" s="7" t="str">
        <f t="shared" si="11"/>
        <v>10</v>
      </c>
      <c r="F174" s="5"/>
      <c r="G174" s="5"/>
    </row>
    <row r="175" spans="1:7" x14ac:dyDescent="0.25">
      <c r="A175" s="9" t="str">
        <f t="shared" si="9"/>
        <v>01 MASTER REQUEST - SLAVE POLL</v>
      </c>
      <c r="B175" t="s">
        <v>36</v>
      </c>
      <c r="C175" s="7" t="str">
        <f t="shared" si="10"/>
        <v>10</v>
      </c>
      <c r="D175" s="8" t="s">
        <v>109</v>
      </c>
      <c r="E175" s="7" t="str">
        <f t="shared" si="11"/>
        <v>31</v>
      </c>
      <c r="F175" s="5"/>
      <c r="G175" s="5"/>
    </row>
    <row r="176" spans="1:7" x14ac:dyDescent="0.25">
      <c r="A176" s="9" t="str">
        <f t="shared" si="9"/>
        <v>90 TIME- TRACK: 01, 00:01, DISC: 1</v>
      </c>
      <c r="B176" t="s">
        <v>61</v>
      </c>
      <c r="C176" s="7" t="str">
        <f t="shared" si="10"/>
        <v>31</v>
      </c>
      <c r="D176" s="8" t="s">
        <v>109</v>
      </c>
      <c r="E176" s="7" t="str">
        <f t="shared" si="11"/>
        <v>70</v>
      </c>
      <c r="F176" s="5"/>
      <c r="G176" s="5"/>
    </row>
    <row r="177" spans="1:7" x14ac:dyDescent="0.25">
      <c r="A177" s="9" t="str">
        <f t="shared" si="9"/>
        <v>01 MASTER REQUEST - SLAVE POLL</v>
      </c>
      <c r="B177" t="s">
        <v>36</v>
      </c>
      <c r="C177" s="7" t="str">
        <f t="shared" si="10"/>
        <v>10</v>
      </c>
      <c r="D177" s="8" t="s">
        <v>109</v>
      </c>
      <c r="E177" s="7" t="str">
        <f t="shared" si="11"/>
        <v>31</v>
      </c>
      <c r="F177" s="5"/>
      <c r="G177" s="5"/>
    </row>
    <row r="178" spans="1:7" x14ac:dyDescent="0.25">
      <c r="A178" s="9" t="str">
        <f t="shared" si="9"/>
        <v>00 STATUS - PLAYING</v>
      </c>
      <c r="B178" t="s">
        <v>35</v>
      </c>
      <c r="C178" s="7" t="str">
        <f t="shared" si="10"/>
        <v>31</v>
      </c>
      <c r="D178" s="8" t="s">
        <v>109</v>
      </c>
      <c r="E178" s="7" t="str">
        <f t="shared" si="11"/>
        <v>10</v>
      </c>
      <c r="F178" s="5"/>
      <c r="G178" s="5"/>
    </row>
    <row r="179" spans="1:7" x14ac:dyDescent="0.25">
      <c r="A179" s="9" t="str">
        <f t="shared" si="9"/>
        <v>84 REQUEST MORE TEXT FIELDS - SEND MAGAZINE INFO</v>
      </c>
      <c r="B179" t="s">
        <v>14</v>
      </c>
      <c r="C179" s="7" t="str">
        <f t="shared" si="10"/>
        <v>10</v>
      </c>
      <c r="D179" s="8" t="s">
        <v>109</v>
      </c>
      <c r="E179" s="7" t="str">
        <f t="shared" si="11"/>
        <v>31</v>
      </c>
      <c r="F179" s="5"/>
      <c r="G179" s="5"/>
    </row>
    <row r="180" spans="1:7" x14ac:dyDescent="0.25">
      <c r="A180" s="9" t="str">
        <f t="shared" si="9"/>
        <v>01 MASTER REQUEST - TIME POLL</v>
      </c>
      <c r="B180" t="s">
        <v>34</v>
      </c>
      <c r="C180" s="7" t="str">
        <f t="shared" si="10"/>
        <v>10</v>
      </c>
      <c r="D180" s="8" t="s">
        <v>109</v>
      </c>
      <c r="E180" s="7" t="str">
        <f t="shared" si="11"/>
        <v>31</v>
      </c>
      <c r="F180" s="5"/>
      <c r="G180" s="5"/>
    </row>
    <row r="181" spans="1:7" x14ac:dyDescent="0.25">
      <c r="A181" s="9" t="str">
        <f t="shared" si="9"/>
        <v>00 STATUS - PLAYING</v>
      </c>
      <c r="B181" t="s">
        <v>35</v>
      </c>
      <c r="C181" s="7" t="str">
        <f t="shared" si="10"/>
        <v>31</v>
      </c>
      <c r="D181" s="8" t="s">
        <v>109</v>
      </c>
      <c r="E181" s="7" t="str">
        <f t="shared" si="11"/>
        <v>10</v>
      </c>
      <c r="F181" s="5"/>
      <c r="G181" s="5"/>
    </row>
    <row r="182" spans="1:7" x14ac:dyDescent="0.25">
      <c r="A182" s="9" t="str">
        <f t="shared" si="9"/>
        <v>84 REQUEST MORE TEXT FIELDS - SEND DISC INFO</v>
      </c>
      <c r="B182" t="s">
        <v>17</v>
      </c>
      <c r="C182" s="7" t="str">
        <f t="shared" si="10"/>
        <v>10</v>
      </c>
      <c r="D182" s="8" t="s">
        <v>109</v>
      </c>
      <c r="E182" s="7" t="str">
        <f t="shared" si="11"/>
        <v>31</v>
      </c>
      <c r="F182" s="5"/>
      <c r="G182" s="5"/>
    </row>
    <row r="183" spans="1:7" x14ac:dyDescent="0.25">
      <c r="A183" s="9" t="str">
        <f t="shared" si="9"/>
        <v>01 MASTER REQUEST - SLAVE POLL</v>
      </c>
      <c r="B183" t="s">
        <v>36</v>
      </c>
      <c r="C183" s="7" t="str">
        <f t="shared" si="10"/>
        <v>10</v>
      </c>
      <c r="D183" s="8" t="s">
        <v>109</v>
      </c>
      <c r="E183" s="7" t="str">
        <f t="shared" si="11"/>
        <v>31</v>
      </c>
      <c r="F183" s="5"/>
      <c r="G183" s="5"/>
    </row>
    <row r="184" spans="1:7" x14ac:dyDescent="0.25">
      <c r="A184" s="9" t="str">
        <f t="shared" si="9"/>
        <v>95 MAGAZINE INFO - CD1 YES, CD2 YES, CD3 NO, CD4 NO, CD5 NO, CD6 NO</v>
      </c>
      <c r="B184" t="s">
        <v>37</v>
      </c>
      <c r="C184" s="7" t="str">
        <f t="shared" si="10"/>
        <v>31</v>
      </c>
      <c r="D184" s="8" t="s">
        <v>109</v>
      </c>
      <c r="E184" s="7" t="str">
        <f t="shared" si="11"/>
        <v>10</v>
      </c>
      <c r="F184" s="5"/>
      <c r="G184" s="5"/>
    </row>
    <row r="185" spans="1:7" x14ac:dyDescent="0.25">
      <c r="A185" s="9" t="str">
        <f t="shared" si="9"/>
        <v>01 MASTER REQUEST - SLAVE POLL</v>
      </c>
      <c r="B185" t="s">
        <v>36</v>
      </c>
      <c r="C185" s="7" t="str">
        <f t="shared" si="10"/>
        <v>10</v>
      </c>
      <c r="D185" s="8" t="s">
        <v>109</v>
      </c>
      <c r="E185" s="7" t="str">
        <f t="shared" si="11"/>
        <v>31</v>
      </c>
      <c r="F185" s="5"/>
      <c r="G185" s="5"/>
    </row>
    <row r="186" spans="1:7" x14ac:dyDescent="0.25">
      <c r="A186" s="9" t="str">
        <f t="shared" si="9"/>
        <v>97 DISC INFO - TRACKS: 77, MINS: 88, SECS: 00, DISC: 1</v>
      </c>
      <c r="B186" t="s">
        <v>22</v>
      </c>
      <c r="C186" s="7" t="str">
        <f t="shared" si="10"/>
        <v>31</v>
      </c>
      <c r="D186" s="8" t="s">
        <v>109</v>
      </c>
      <c r="E186" s="7" t="str">
        <f t="shared" si="11"/>
        <v>10</v>
      </c>
      <c r="F186" s="5"/>
      <c r="G186" s="5"/>
    </row>
    <row r="187" spans="1:7" x14ac:dyDescent="0.25">
      <c r="A187" s="9" t="str">
        <f t="shared" si="9"/>
        <v>01 MASTER REQUEST - SLAVE POLL</v>
      </c>
      <c r="B187" t="s">
        <v>36</v>
      </c>
      <c r="C187" s="7" t="str">
        <f t="shared" si="10"/>
        <v>10</v>
      </c>
      <c r="D187" s="8" t="s">
        <v>109</v>
      </c>
      <c r="E187" s="7" t="str">
        <f t="shared" si="11"/>
        <v>31</v>
      </c>
      <c r="F187" s="5"/>
      <c r="G187" s="5"/>
    </row>
    <row r="188" spans="1:7" x14ac:dyDescent="0.25">
      <c r="A188" s="9" t="str">
        <f t="shared" si="9"/>
        <v>90 TIME- TRACK: 01, 00:02, DISC: 1</v>
      </c>
      <c r="B188" t="s">
        <v>62</v>
      </c>
      <c r="C188" s="7" t="str">
        <f t="shared" si="10"/>
        <v>31</v>
      </c>
      <c r="D188" s="8" t="s">
        <v>109</v>
      </c>
      <c r="E188" s="7" t="str">
        <f t="shared" si="11"/>
        <v>70</v>
      </c>
      <c r="F188" s="5"/>
      <c r="G188" s="5"/>
    </row>
    <row r="189" spans="1:7" x14ac:dyDescent="0.25">
      <c r="A189" s="9" t="str">
        <f t="shared" si="9"/>
        <v>84 REQUEST MORE TEXT FIELDS - SEND MAGAZINE INFO</v>
      </c>
      <c r="B189" t="s">
        <v>14</v>
      </c>
      <c r="C189" s="7" t="str">
        <f t="shared" si="10"/>
        <v>10</v>
      </c>
      <c r="D189" s="8" t="s">
        <v>109</v>
      </c>
      <c r="E189" s="7" t="str">
        <f t="shared" si="11"/>
        <v>31</v>
      </c>
      <c r="F189" s="5"/>
      <c r="G189" s="5"/>
    </row>
    <row r="190" spans="1:7" x14ac:dyDescent="0.25">
      <c r="A190" s="9" t="str">
        <f t="shared" si="9"/>
        <v>01 MASTER REQUEST - TIME POLL</v>
      </c>
      <c r="B190" t="s">
        <v>34</v>
      </c>
      <c r="C190" s="7" t="str">
        <f t="shared" si="10"/>
        <v>10</v>
      </c>
      <c r="D190" s="8" t="s">
        <v>109</v>
      </c>
      <c r="E190" s="7" t="str">
        <f t="shared" si="11"/>
        <v>31</v>
      </c>
      <c r="F190" s="5"/>
      <c r="G190" s="5"/>
    </row>
    <row r="191" spans="1:7" x14ac:dyDescent="0.25">
      <c r="A191" s="9" t="str">
        <f t="shared" si="9"/>
        <v>00 STATUS - PLAYING</v>
      </c>
      <c r="B191" t="s">
        <v>35</v>
      </c>
      <c r="C191" s="7" t="str">
        <f t="shared" si="10"/>
        <v>31</v>
      </c>
      <c r="D191" s="8" t="s">
        <v>109</v>
      </c>
      <c r="E191" s="7" t="str">
        <f t="shared" si="11"/>
        <v>10</v>
      </c>
      <c r="F191" s="5"/>
      <c r="G191" s="5"/>
    </row>
    <row r="192" spans="1:7" x14ac:dyDescent="0.25">
      <c r="A192" s="9" t="str">
        <f t="shared" si="9"/>
        <v>84 REQUEST MORE TEXT FIELDS - SEND DISC INFO</v>
      </c>
      <c r="B192" t="s">
        <v>17</v>
      </c>
      <c r="C192" s="7" t="str">
        <f t="shared" si="10"/>
        <v>10</v>
      </c>
      <c r="D192" s="8" t="s">
        <v>109</v>
      </c>
      <c r="E192" s="7" t="str">
        <f t="shared" si="11"/>
        <v>31</v>
      </c>
      <c r="F192" s="5"/>
      <c r="G192" s="5"/>
    </row>
    <row r="193" spans="1:7" x14ac:dyDescent="0.25">
      <c r="A193" s="9" t="str">
        <f t="shared" si="9"/>
        <v>01 MASTER REQUEST - SLAVE POLL</v>
      </c>
      <c r="B193" t="s">
        <v>36</v>
      </c>
      <c r="C193" s="7" t="str">
        <f t="shared" si="10"/>
        <v>10</v>
      </c>
      <c r="D193" s="8" t="s">
        <v>109</v>
      </c>
      <c r="E193" s="7" t="str">
        <f t="shared" si="11"/>
        <v>31</v>
      </c>
      <c r="F193" s="5"/>
      <c r="G193" s="5"/>
    </row>
    <row r="194" spans="1:7" x14ac:dyDescent="0.25">
      <c r="A194" s="9" t="str">
        <f t="shared" si="9"/>
        <v>95 MAGAZINE INFO - CD1 YES, CD2 YES, CD3 NO, CD4 NO, CD5 NO, CD6 NO</v>
      </c>
      <c r="B194" t="s">
        <v>37</v>
      </c>
      <c r="C194" s="7" t="str">
        <f t="shared" si="10"/>
        <v>31</v>
      </c>
      <c r="D194" s="8" t="s">
        <v>109</v>
      </c>
      <c r="E194" s="7" t="str">
        <f t="shared" si="11"/>
        <v>10</v>
      </c>
      <c r="F194" s="5"/>
      <c r="G194" s="5"/>
    </row>
    <row r="195" spans="1:7" x14ac:dyDescent="0.25">
      <c r="A195" s="9" t="str">
        <f t="shared" ref="A195:A258" si="12">ParseUnilink(B195)</f>
        <v>01 MASTER REQUEST - SLAVE POLL</v>
      </c>
      <c r="B195" t="s">
        <v>36</v>
      </c>
      <c r="C195" s="7" t="str">
        <f t="shared" ref="C195:C258" si="13">MID(B195,4,2)</f>
        <v>10</v>
      </c>
      <c r="D195" s="8" t="s">
        <v>109</v>
      </c>
      <c r="E195" s="7" t="str">
        <f t="shared" ref="E195:E258" si="14">MID(B195,1,2)</f>
        <v>31</v>
      </c>
      <c r="F195" s="5"/>
      <c r="G195" s="5"/>
    </row>
    <row r="196" spans="1:7" x14ac:dyDescent="0.25">
      <c r="A196" s="9" t="str">
        <f t="shared" si="12"/>
        <v>97 DISC INFO - TRACKS: 77, MINS: 88, SECS: 00, DISC: 1</v>
      </c>
      <c r="B196" t="s">
        <v>22</v>
      </c>
      <c r="C196" s="7" t="str">
        <f t="shared" si="13"/>
        <v>31</v>
      </c>
      <c r="D196" s="8" t="s">
        <v>109</v>
      </c>
      <c r="E196" s="7" t="str">
        <f t="shared" si="14"/>
        <v>10</v>
      </c>
      <c r="F196" s="5"/>
      <c r="G196" s="5"/>
    </row>
    <row r="197" spans="1:7" x14ac:dyDescent="0.25">
      <c r="A197" s="9" t="str">
        <f t="shared" si="12"/>
        <v>01 MASTER REQUEST - SLAVE POLL</v>
      </c>
      <c r="B197" t="s">
        <v>36</v>
      </c>
      <c r="C197" s="7" t="str">
        <f t="shared" si="13"/>
        <v>10</v>
      </c>
      <c r="D197" s="8" t="s">
        <v>109</v>
      </c>
      <c r="E197" s="7" t="str">
        <f t="shared" si="14"/>
        <v>31</v>
      </c>
      <c r="F197" s="5"/>
      <c r="G197" s="5"/>
    </row>
    <row r="198" spans="1:7" x14ac:dyDescent="0.25">
      <c r="A198" s="9" t="str">
        <f t="shared" si="12"/>
        <v>90 TIME- TRACK: 01, 00:03, DISC: 1</v>
      </c>
      <c r="B198" t="s">
        <v>63</v>
      </c>
      <c r="C198" s="7" t="str">
        <f t="shared" si="13"/>
        <v>31</v>
      </c>
      <c r="D198" s="8" t="s">
        <v>109</v>
      </c>
      <c r="E198" s="7" t="str">
        <f t="shared" si="14"/>
        <v>70</v>
      </c>
      <c r="F198" s="5"/>
      <c r="G198" s="5"/>
    </row>
    <row r="199" spans="1:7" x14ac:dyDescent="0.25">
      <c r="A199" s="9" t="str">
        <f t="shared" si="12"/>
        <v>01 MASTER REQUEST - SLAVE POLL</v>
      </c>
      <c r="B199" t="s">
        <v>36</v>
      </c>
      <c r="C199" s="7" t="str">
        <f t="shared" si="13"/>
        <v>10</v>
      </c>
      <c r="D199" s="8" t="s">
        <v>109</v>
      </c>
      <c r="E199" s="7" t="str">
        <f t="shared" si="14"/>
        <v>31</v>
      </c>
      <c r="F199" s="5"/>
      <c r="G199" s="5"/>
    </row>
    <row r="200" spans="1:7" x14ac:dyDescent="0.25">
      <c r="A200" s="9" t="str">
        <f t="shared" si="12"/>
        <v>00 STATUS - PLAYING</v>
      </c>
      <c r="B200" t="s">
        <v>35</v>
      </c>
      <c r="C200" s="7" t="str">
        <f t="shared" si="13"/>
        <v>31</v>
      </c>
      <c r="D200" s="8" t="s">
        <v>109</v>
      </c>
      <c r="E200" s="7" t="str">
        <f t="shared" si="14"/>
        <v>10</v>
      </c>
      <c r="F200" s="5"/>
      <c r="G200" s="5"/>
    </row>
    <row r="201" spans="1:7" x14ac:dyDescent="0.25">
      <c r="A201" s="9" t="str">
        <f t="shared" si="12"/>
        <v>01 MASTER REQUEST - SLAVE POLL</v>
      </c>
      <c r="B201" t="s">
        <v>36</v>
      </c>
      <c r="C201" s="7" t="str">
        <f t="shared" si="13"/>
        <v>10</v>
      </c>
      <c r="D201" s="8" t="s">
        <v>109</v>
      </c>
      <c r="E201" s="7" t="str">
        <f t="shared" si="14"/>
        <v>31</v>
      </c>
      <c r="F201" s="5"/>
      <c r="G201" s="5"/>
    </row>
    <row r="202" spans="1:7" x14ac:dyDescent="0.25">
      <c r="A202" s="9" t="str">
        <f t="shared" si="12"/>
        <v>90 TIME- TRACK: 01, 00:04, DISC: 1</v>
      </c>
      <c r="B202" t="s">
        <v>64</v>
      </c>
      <c r="C202" s="7" t="str">
        <f t="shared" si="13"/>
        <v>31</v>
      </c>
      <c r="D202" s="8" t="s">
        <v>109</v>
      </c>
      <c r="E202" s="7" t="str">
        <f t="shared" si="14"/>
        <v>70</v>
      </c>
      <c r="F202" s="5"/>
      <c r="G202" s="5"/>
    </row>
    <row r="203" spans="1:7" x14ac:dyDescent="0.25">
      <c r="A203" s="9" t="str">
        <f t="shared" si="12"/>
        <v>01 MASTER REQUEST - SLAVE POLL</v>
      </c>
      <c r="B203" t="s">
        <v>36</v>
      </c>
      <c r="C203" s="7" t="str">
        <f t="shared" si="13"/>
        <v>10</v>
      </c>
      <c r="D203" s="8" t="s">
        <v>109</v>
      </c>
      <c r="E203" s="7" t="str">
        <f t="shared" si="14"/>
        <v>31</v>
      </c>
      <c r="F203" s="5"/>
      <c r="G203" s="5"/>
    </row>
    <row r="204" spans="1:7" x14ac:dyDescent="0.25">
      <c r="A204" s="9" t="str">
        <f t="shared" si="12"/>
        <v>00 STATUS - PLAYING</v>
      </c>
      <c r="B204" t="s">
        <v>35</v>
      </c>
      <c r="C204" s="7" t="str">
        <f t="shared" si="13"/>
        <v>31</v>
      </c>
      <c r="D204" s="8" t="s">
        <v>109</v>
      </c>
      <c r="E204" s="7" t="str">
        <f t="shared" si="14"/>
        <v>10</v>
      </c>
      <c r="F204" s="5"/>
      <c r="G204" s="5"/>
    </row>
    <row r="205" spans="1:7" x14ac:dyDescent="0.25">
      <c r="A205" s="9" t="str">
        <f t="shared" si="12"/>
        <v>84 REQUEST MORE TEXT FIELDS - SEND MAGAZINE INFO</v>
      </c>
      <c r="B205" t="s">
        <v>14</v>
      </c>
      <c r="C205" s="7" t="str">
        <f t="shared" si="13"/>
        <v>10</v>
      </c>
      <c r="D205" s="8" t="s">
        <v>109</v>
      </c>
      <c r="E205" s="7" t="str">
        <f t="shared" si="14"/>
        <v>31</v>
      </c>
      <c r="F205" s="5"/>
      <c r="G205" s="5"/>
    </row>
    <row r="206" spans="1:7" x14ac:dyDescent="0.25">
      <c r="A206" s="9" t="str">
        <f t="shared" si="12"/>
        <v>01 MASTER REQUEST - TIME POLL</v>
      </c>
      <c r="B206" t="s">
        <v>34</v>
      </c>
      <c r="C206" s="7" t="str">
        <f t="shared" si="13"/>
        <v>10</v>
      </c>
      <c r="D206" s="8" t="s">
        <v>109</v>
      </c>
      <c r="E206" s="7" t="str">
        <f t="shared" si="14"/>
        <v>31</v>
      </c>
      <c r="F206" s="5"/>
      <c r="G206" s="5"/>
    </row>
    <row r="207" spans="1:7" x14ac:dyDescent="0.25">
      <c r="A207" s="9" t="str">
        <f t="shared" si="12"/>
        <v>00 STATUS - PLAYING</v>
      </c>
      <c r="B207" t="s">
        <v>35</v>
      </c>
      <c r="C207" s="7" t="str">
        <f t="shared" si="13"/>
        <v>31</v>
      </c>
      <c r="D207" s="8" t="s">
        <v>109</v>
      </c>
      <c r="E207" s="7" t="str">
        <f t="shared" si="14"/>
        <v>10</v>
      </c>
      <c r="F207" s="5"/>
      <c r="G207" s="5"/>
    </row>
    <row r="208" spans="1:7" x14ac:dyDescent="0.25">
      <c r="A208" s="9" t="str">
        <f t="shared" si="12"/>
        <v>84 REQUEST MORE TEXT FIELDS - SEND DISC INFO</v>
      </c>
      <c r="B208" t="s">
        <v>17</v>
      </c>
      <c r="C208" s="7" t="str">
        <f t="shared" si="13"/>
        <v>10</v>
      </c>
      <c r="D208" s="8" t="s">
        <v>109</v>
      </c>
      <c r="E208" s="7" t="str">
        <f t="shared" si="14"/>
        <v>31</v>
      </c>
      <c r="F208" s="5"/>
      <c r="G208" s="5"/>
    </row>
    <row r="209" spans="1:7" x14ac:dyDescent="0.25">
      <c r="A209" s="9" t="str">
        <f t="shared" si="12"/>
        <v>B0 CHANGE TO DISC 2, TRACK 00</v>
      </c>
      <c r="B209" t="s">
        <v>65</v>
      </c>
      <c r="C209" s="7" t="str">
        <f t="shared" si="13"/>
        <v>11</v>
      </c>
      <c r="D209" s="8" t="s">
        <v>109</v>
      </c>
      <c r="E209" s="7" t="str">
        <f t="shared" si="14"/>
        <v>31</v>
      </c>
      <c r="F209" s="5"/>
      <c r="G209" s="5"/>
    </row>
    <row r="210" spans="1:7" x14ac:dyDescent="0.25">
      <c r="A210" s="9" t="str">
        <f t="shared" si="12"/>
        <v>01 MASTER REQUEST - SLAVE POLL</v>
      </c>
      <c r="B210" t="s">
        <v>36</v>
      </c>
      <c r="C210" s="7" t="str">
        <f t="shared" si="13"/>
        <v>10</v>
      </c>
      <c r="D210" s="8" t="s">
        <v>109</v>
      </c>
      <c r="E210" s="7" t="str">
        <f t="shared" si="14"/>
        <v>31</v>
      </c>
      <c r="F210" s="5"/>
      <c r="G210" s="5"/>
    </row>
    <row r="211" spans="1:7" x14ac:dyDescent="0.25">
      <c r="A211" s="9" t="str">
        <f t="shared" si="12"/>
        <v>C0 SEEKING TO - (NO PARITY2???) XCARLINK BUG, ALFA 166 ICS DOESN'T ALLOW 13 BYTE RESPONSES!</v>
      </c>
      <c r="B211" t="s">
        <v>66</v>
      </c>
      <c r="C211" s="7" t="str">
        <f t="shared" si="13"/>
        <v>31</v>
      </c>
      <c r="D211" s="8" t="s">
        <v>109</v>
      </c>
      <c r="E211" s="7" t="str">
        <f t="shared" si="14"/>
        <v>77</v>
      </c>
      <c r="F211" s="5"/>
      <c r="G211" s="5"/>
    </row>
    <row r="212" spans="1:7" x14ac:dyDescent="0.25">
      <c r="A212" s="9" t="str">
        <f t="shared" si="12"/>
        <v>01 MASTER REQUEST - SLAVE POLL</v>
      </c>
      <c r="B212" t="s">
        <v>36</v>
      </c>
      <c r="C212" s="7" t="str">
        <f t="shared" si="13"/>
        <v>10</v>
      </c>
      <c r="D212" s="8" t="s">
        <v>109</v>
      </c>
      <c r="E212" s="7" t="str">
        <f t="shared" si="14"/>
        <v>31</v>
      </c>
      <c r="F212" s="5"/>
      <c r="G212" s="5"/>
    </row>
    <row r="213" spans="1:7" x14ac:dyDescent="0.25">
      <c r="A213" s="9" t="str">
        <f t="shared" si="12"/>
        <v>00 STATUS - PLAYING</v>
      </c>
      <c r="B213" t="s">
        <v>35</v>
      </c>
      <c r="C213" s="7" t="str">
        <f t="shared" si="13"/>
        <v>31</v>
      </c>
      <c r="D213" s="8" t="s">
        <v>109</v>
      </c>
      <c r="E213" s="7" t="str">
        <f t="shared" si="14"/>
        <v>10</v>
      </c>
      <c r="F213" s="5"/>
      <c r="G213" s="5"/>
    </row>
    <row r="214" spans="1:7" x14ac:dyDescent="0.25">
      <c r="A214" s="9" t="str">
        <f t="shared" si="12"/>
        <v>84 REQUEST MORE TEXT FIELDS - SEND MAGAZINE INFO</v>
      </c>
      <c r="B214" t="s">
        <v>14</v>
      </c>
      <c r="C214" s="7" t="str">
        <f t="shared" si="13"/>
        <v>10</v>
      </c>
      <c r="D214" s="8" t="s">
        <v>109</v>
      </c>
      <c r="E214" s="7" t="str">
        <f t="shared" si="14"/>
        <v>31</v>
      </c>
      <c r="F214" s="5"/>
      <c r="G214" s="5"/>
    </row>
    <row r="215" spans="1:7" x14ac:dyDescent="0.25">
      <c r="A215" s="9" t="str">
        <f t="shared" si="12"/>
        <v>01 MASTER REQUEST - TIME POLL</v>
      </c>
      <c r="B215" t="s">
        <v>34</v>
      </c>
      <c r="C215" s="7" t="str">
        <f t="shared" si="13"/>
        <v>10</v>
      </c>
      <c r="D215" s="8" t="s">
        <v>109</v>
      </c>
      <c r="E215" s="7" t="str">
        <f t="shared" si="14"/>
        <v>31</v>
      </c>
      <c r="F215" s="5"/>
      <c r="G215" s="5"/>
    </row>
    <row r="216" spans="1:7" x14ac:dyDescent="0.25">
      <c r="A216" s="9" t="str">
        <f t="shared" si="12"/>
        <v>00 STATUS - PLAYING</v>
      </c>
      <c r="B216" t="s">
        <v>35</v>
      </c>
      <c r="C216" s="7" t="str">
        <f t="shared" si="13"/>
        <v>31</v>
      </c>
      <c r="D216" s="8" t="s">
        <v>109</v>
      </c>
      <c r="E216" s="7" t="str">
        <f t="shared" si="14"/>
        <v>10</v>
      </c>
      <c r="F216" s="5"/>
      <c r="G216" s="5"/>
    </row>
    <row r="217" spans="1:7" x14ac:dyDescent="0.25">
      <c r="A217" s="9" t="str">
        <f t="shared" si="12"/>
        <v>84 REQUEST MORE TEXT FIELDS - SEND DISC INFO</v>
      </c>
      <c r="B217" t="s">
        <v>17</v>
      </c>
      <c r="C217" s="7" t="str">
        <f t="shared" si="13"/>
        <v>10</v>
      </c>
      <c r="D217" s="8" t="s">
        <v>109</v>
      </c>
      <c r="E217" s="7" t="str">
        <f t="shared" si="14"/>
        <v>31</v>
      </c>
      <c r="F217" s="5"/>
      <c r="G217" s="5"/>
    </row>
    <row r="218" spans="1:7" x14ac:dyDescent="0.25">
      <c r="A218" s="9" t="str">
        <f t="shared" si="12"/>
        <v>01 MASTER REQUEST - SLAVE POLL</v>
      </c>
      <c r="B218" t="s">
        <v>36</v>
      </c>
      <c r="C218" s="7" t="str">
        <f t="shared" si="13"/>
        <v>10</v>
      </c>
      <c r="D218" s="8" t="s">
        <v>109</v>
      </c>
      <c r="E218" s="7" t="str">
        <f t="shared" si="14"/>
        <v>31</v>
      </c>
      <c r="F218" s="5"/>
      <c r="G218" s="5"/>
    </row>
    <row r="219" spans="1:7" x14ac:dyDescent="0.25">
      <c r="A219" s="9" t="str">
        <f t="shared" si="12"/>
        <v>95 MAGAZINE INFO - CD1 YES, CD2 YES, CD3 NO, CD4 NO, CD5 NO, CD6 NO</v>
      </c>
      <c r="B219" t="s">
        <v>37</v>
      </c>
      <c r="C219" s="7" t="str">
        <f t="shared" si="13"/>
        <v>31</v>
      </c>
      <c r="D219" s="8" t="s">
        <v>109</v>
      </c>
      <c r="E219" s="7" t="str">
        <f t="shared" si="14"/>
        <v>10</v>
      </c>
      <c r="F219" s="5"/>
      <c r="G219" s="5"/>
    </row>
    <row r="220" spans="1:7" x14ac:dyDescent="0.25">
      <c r="A220" s="9" t="str">
        <f t="shared" si="12"/>
        <v>01 MASTER REQUEST - SLAVE POLL</v>
      </c>
      <c r="B220" t="s">
        <v>36</v>
      </c>
      <c r="C220" s="7" t="str">
        <f t="shared" si="13"/>
        <v>10</v>
      </c>
      <c r="D220" s="8" t="s">
        <v>109</v>
      </c>
      <c r="E220" s="7" t="str">
        <f t="shared" si="14"/>
        <v>31</v>
      </c>
      <c r="F220" s="5"/>
      <c r="G220" s="5"/>
    </row>
    <row r="221" spans="1:7" x14ac:dyDescent="0.25">
      <c r="A221" s="9" t="str">
        <f t="shared" si="12"/>
        <v>97 DISC INFO - TRACKS: 69, MINS: 88, SECS: 00, DISC: 2</v>
      </c>
      <c r="B221" t="s">
        <v>38</v>
      </c>
      <c r="C221" s="7" t="str">
        <f t="shared" si="13"/>
        <v>31</v>
      </c>
      <c r="D221" s="8" t="s">
        <v>109</v>
      </c>
      <c r="E221" s="7" t="str">
        <f t="shared" si="14"/>
        <v>10</v>
      </c>
      <c r="F221" s="5"/>
      <c r="G221" s="5"/>
    </row>
    <row r="222" spans="1:7" x14ac:dyDescent="0.25">
      <c r="A222" s="9" t="str">
        <f t="shared" si="12"/>
        <v>01 MASTER REQUEST - SLAVE POLL</v>
      </c>
      <c r="B222" t="s">
        <v>36</v>
      </c>
      <c r="C222" s="7" t="str">
        <f t="shared" si="13"/>
        <v>10</v>
      </c>
      <c r="D222" s="8" t="s">
        <v>109</v>
      </c>
      <c r="E222" s="7" t="str">
        <f t="shared" si="14"/>
        <v>31</v>
      </c>
      <c r="F222" s="5"/>
      <c r="G222" s="5"/>
    </row>
    <row r="223" spans="1:7" x14ac:dyDescent="0.25">
      <c r="A223" s="9" t="str">
        <f t="shared" si="12"/>
        <v>C0 SEEKING TO - (NO PARITY2???) XCARLINK BUG, ALFA 166 ICS DOESN'T ALLOW 13 BYTE RESPONSES!</v>
      </c>
      <c r="B223" t="s">
        <v>67</v>
      </c>
      <c r="C223" s="7" t="str">
        <f t="shared" si="13"/>
        <v>31</v>
      </c>
      <c r="D223" s="8" t="s">
        <v>109</v>
      </c>
      <c r="E223" s="7" t="str">
        <f t="shared" si="14"/>
        <v>70</v>
      </c>
      <c r="F223" s="5"/>
      <c r="G223" s="5"/>
    </row>
    <row r="224" spans="1:7" x14ac:dyDescent="0.25">
      <c r="A224" s="9" t="str">
        <f t="shared" si="12"/>
        <v>01 MASTER REQUEST - SLAVE POLL</v>
      </c>
      <c r="B224" t="s">
        <v>36</v>
      </c>
      <c r="C224" s="7" t="str">
        <f t="shared" si="13"/>
        <v>10</v>
      </c>
      <c r="D224" s="8" t="s">
        <v>109</v>
      </c>
      <c r="E224" s="7" t="str">
        <f t="shared" si="14"/>
        <v>31</v>
      </c>
      <c r="F224" s="5"/>
      <c r="G224" s="5"/>
    </row>
    <row r="225" spans="1:7" x14ac:dyDescent="0.25">
      <c r="A225" s="9" t="str">
        <f t="shared" si="12"/>
        <v>97 DISC INFO - TRACKS: 69, MINS: 88, SECS: 00, DISC: 2</v>
      </c>
      <c r="B225" t="s">
        <v>38</v>
      </c>
      <c r="C225" s="7" t="str">
        <f t="shared" si="13"/>
        <v>31</v>
      </c>
      <c r="D225" s="8" t="s">
        <v>109</v>
      </c>
      <c r="E225" s="7" t="str">
        <f t="shared" si="14"/>
        <v>10</v>
      </c>
      <c r="F225" s="5"/>
      <c r="G225" s="5"/>
    </row>
    <row r="226" spans="1:7" x14ac:dyDescent="0.25">
      <c r="A226" s="9" t="str">
        <f t="shared" si="12"/>
        <v>01 MASTER REQUEST - SLAVE POLL</v>
      </c>
      <c r="B226" t="s">
        <v>36</v>
      </c>
      <c r="C226" s="7" t="str">
        <f t="shared" si="13"/>
        <v>10</v>
      </c>
      <c r="D226" s="8" t="s">
        <v>109</v>
      </c>
      <c r="E226" s="7" t="str">
        <f t="shared" si="14"/>
        <v>31</v>
      </c>
      <c r="F226" s="5"/>
      <c r="G226" s="5"/>
    </row>
    <row r="227" spans="1:7" x14ac:dyDescent="0.25">
      <c r="A227" s="9" t="str">
        <f t="shared" si="12"/>
        <v>D5 DISC IDENTIFIER</v>
      </c>
      <c r="B227" t="s">
        <v>47</v>
      </c>
      <c r="C227" s="7" t="str">
        <f t="shared" si="13"/>
        <v>31</v>
      </c>
      <c r="D227" s="8" t="s">
        <v>109</v>
      </c>
      <c r="E227" s="7" t="str">
        <f t="shared" si="14"/>
        <v>10</v>
      </c>
      <c r="F227" s="5"/>
      <c r="G227" s="5"/>
    </row>
    <row r="228" spans="1:7" x14ac:dyDescent="0.25">
      <c r="A228" s="9" t="str">
        <f t="shared" si="12"/>
        <v>01 MASTER REQUEST - SLAVE POLL</v>
      </c>
      <c r="B228" t="s">
        <v>36</v>
      </c>
      <c r="C228" s="7" t="str">
        <f t="shared" si="13"/>
        <v>10</v>
      </c>
      <c r="D228" s="8" t="s">
        <v>109</v>
      </c>
      <c r="E228" s="7" t="str">
        <f t="shared" si="14"/>
        <v>31</v>
      </c>
      <c r="F228" s="5"/>
      <c r="G228" s="5"/>
    </row>
    <row r="229" spans="1:7" x14ac:dyDescent="0.25">
      <c r="A229" s="9" t="str">
        <f t="shared" si="12"/>
        <v>90 TIME- TRACK: 01, 00:00, DISC: 2</v>
      </c>
      <c r="B229" t="s">
        <v>68</v>
      </c>
      <c r="C229" s="7" t="str">
        <f t="shared" si="13"/>
        <v>31</v>
      </c>
      <c r="D229" s="8" t="s">
        <v>109</v>
      </c>
      <c r="E229" s="7" t="str">
        <f t="shared" si="14"/>
        <v>70</v>
      </c>
      <c r="F229" s="5"/>
      <c r="G229" s="5"/>
    </row>
    <row r="230" spans="1:7" x14ac:dyDescent="0.25">
      <c r="A230" s="9" t="str">
        <f t="shared" si="12"/>
        <v>01 MASTER REQUEST - SLAVE POLL</v>
      </c>
      <c r="B230" t="s">
        <v>36</v>
      </c>
      <c r="C230" s="7" t="str">
        <f t="shared" si="13"/>
        <v>10</v>
      </c>
      <c r="D230" s="8" t="s">
        <v>109</v>
      </c>
      <c r="E230" s="7" t="str">
        <f t="shared" si="14"/>
        <v>31</v>
      </c>
      <c r="F230" s="5"/>
      <c r="G230" s="5"/>
    </row>
    <row r="231" spans="1:7" x14ac:dyDescent="0.25">
      <c r="A231" s="9" t="str">
        <f t="shared" si="12"/>
        <v>00 STATUS - PLAYING</v>
      </c>
      <c r="B231" t="s">
        <v>35</v>
      </c>
      <c r="C231" s="7" t="str">
        <f t="shared" si="13"/>
        <v>31</v>
      </c>
      <c r="D231" s="8" t="s">
        <v>109</v>
      </c>
      <c r="E231" s="7" t="str">
        <f t="shared" si="14"/>
        <v>10</v>
      </c>
      <c r="F231" s="5"/>
      <c r="G231" s="5"/>
    </row>
    <row r="232" spans="1:7" x14ac:dyDescent="0.25">
      <c r="A232" s="9" t="str">
        <f t="shared" si="12"/>
        <v>84 REQUEST MORE TEXT FIELDS - SEND MAGAZINE INFO</v>
      </c>
      <c r="B232" t="s">
        <v>14</v>
      </c>
      <c r="C232" s="7" t="str">
        <f t="shared" si="13"/>
        <v>10</v>
      </c>
      <c r="D232" s="8" t="s">
        <v>109</v>
      </c>
      <c r="E232" s="7" t="str">
        <f t="shared" si="14"/>
        <v>31</v>
      </c>
      <c r="F232" s="5"/>
      <c r="G232" s="5"/>
    </row>
    <row r="233" spans="1:7" x14ac:dyDescent="0.25">
      <c r="A233" s="9" t="str">
        <f t="shared" si="12"/>
        <v>01 MASTER REQUEST - TIME POLL</v>
      </c>
      <c r="B233" t="s">
        <v>34</v>
      </c>
      <c r="C233" s="7" t="str">
        <f t="shared" si="13"/>
        <v>10</v>
      </c>
      <c r="D233" s="8" t="s">
        <v>109</v>
      </c>
      <c r="E233" s="7" t="str">
        <f t="shared" si="14"/>
        <v>31</v>
      </c>
      <c r="F233" s="5"/>
      <c r="G233" s="5"/>
    </row>
    <row r="234" spans="1:7" x14ac:dyDescent="0.25">
      <c r="A234" s="9" t="str">
        <f t="shared" si="12"/>
        <v>00 STATUS - PLAYING</v>
      </c>
      <c r="B234" t="s">
        <v>35</v>
      </c>
      <c r="C234" s="7" t="str">
        <f t="shared" si="13"/>
        <v>31</v>
      </c>
      <c r="D234" s="8" t="s">
        <v>109</v>
      </c>
      <c r="E234" s="7" t="str">
        <f t="shared" si="14"/>
        <v>10</v>
      </c>
      <c r="F234" s="5"/>
      <c r="G234" s="5"/>
    </row>
    <row r="235" spans="1:7" x14ac:dyDescent="0.25">
      <c r="A235" s="9" t="str">
        <f t="shared" si="12"/>
        <v>84 REQUEST MORE TEXT FIELDS - SEND DISC INFO</v>
      </c>
      <c r="B235" t="s">
        <v>17</v>
      </c>
      <c r="C235" s="7" t="str">
        <f t="shared" si="13"/>
        <v>10</v>
      </c>
      <c r="D235" s="8" t="s">
        <v>109</v>
      </c>
      <c r="E235" s="7" t="str">
        <f t="shared" si="14"/>
        <v>31</v>
      </c>
      <c r="F235" s="5"/>
      <c r="G235" s="5"/>
    </row>
    <row r="236" spans="1:7" x14ac:dyDescent="0.25">
      <c r="A236" s="9" t="str">
        <f t="shared" si="12"/>
        <v>01 MASTER REQUEST - SLAVE POLL</v>
      </c>
      <c r="B236" t="s">
        <v>36</v>
      </c>
      <c r="C236" s="7" t="str">
        <f t="shared" si="13"/>
        <v>10</v>
      </c>
      <c r="D236" s="8" t="s">
        <v>109</v>
      </c>
      <c r="E236" s="7" t="str">
        <f t="shared" si="14"/>
        <v>31</v>
      </c>
      <c r="F236" s="5"/>
      <c r="G236" s="5"/>
    </row>
    <row r="237" spans="1:7" x14ac:dyDescent="0.25">
      <c r="A237" s="9" t="str">
        <f t="shared" si="12"/>
        <v>95 MAGAZINE INFO - CD1 YES, CD2 YES, CD3 NO, CD4 NO, CD5 NO, CD6 NO</v>
      </c>
      <c r="B237" t="s">
        <v>37</v>
      </c>
      <c r="C237" s="7" t="str">
        <f t="shared" si="13"/>
        <v>31</v>
      </c>
      <c r="D237" s="8" t="s">
        <v>109</v>
      </c>
      <c r="E237" s="7" t="str">
        <f t="shared" si="14"/>
        <v>10</v>
      </c>
      <c r="F237" s="5"/>
      <c r="G237" s="5"/>
    </row>
    <row r="238" spans="1:7" x14ac:dyDescent="0.25">
      <c r="A238" s="9" t="str">
        <f t="shared" si="12"/>
        <v>01 MASTER REQUEST - SLAVE POLL</v>
      </c>
      <c r="B238" t="s">
        <v>36</v>
      </c>
      <c r="C238" s="7" t="str">
        <f t="shared" si="13"/>
        <v>10</v>
      </c>
      <c r="D238" s="8" t="s">
        <v>109</v>
      </c>
      <c r="E238" s="7" t="str">
        <f t="shared" si="14"/>
        <v>31</v>
      </c>
      <c r="F238" s="5"/>
      <c r="G238" s="5"/>
    </row>
    <row r="239" spans="1:7" x14ac:dyDescent="0.25">
      <c r="A239" s="9" t="str">
        <f t="shared" si="12"/>
        <v>97 DISC INFO - TRACKS: 69, MINS: 88, SECS: 00, DISC: 2</v>
      </c>
      <c r="B239" t="s">
        <v>38</v>
      </c>
      <c r="C239" s="7" t="str">
        <f t="shared" si="13"/>
        <v>31</v>
      </c>
      <c r="D239" s="8" t="s">
        <v>109</v>
      </c>
      <c r="E239" s="7" t="str">
        <f t="shared" si="14"/>
        <v>10</v>
      </c>
      <c r="F239" s="5"/>
      <c r="G239" s="5"/>
    </row>
    <row r="240" spans="1:7" x14ac:dyDescent="0.25">
      <c r="A240" s="9" t="str">
        <f t="shared" si="12"/>
        <v>01 MASTER REQUEST - SLAVE POLL</v>
      </c>
      <c r="B240" t="s">
        <v>36</v>
      </c>
      <c r="C240" s="7" t="str">
        <f t="shared" si="13"/>
        <v>10</v>
      </c>
      <c r="D240" s="8" t="s">
        <v>109</v>
      </c>
      <c r="E240" s="7" t="str">
        <f t="shared" si="14"/>
        <v>31</v>
      </c>
      <c r="F240" s="5"/>
      <c r="G240" s="5"/>
    </row>
    <row r="241" spans="1:7" x14ac:dyDescent="0.25">
      <c r="A241" s="9" t="str">
        <f t="shared" si="12"/>
        <v>90 TIME- TRACK: 01, 00:01, DISC: 2</v>
      </c>
      <c r="B241" t="s">
        <v>69</v>
      </c>
      <c r="C241" s="7" t="str">
        <f t="shared" si="13"/>
        <v>31</v>
      </c>
      <c r="D241" s="8" t="s">
        <v>109</v>
      </c>
      <c r="E241" s="7" t="str">
        <f t="shared" si="14"/>
        <v>70</v>
      </c>
      <c r="F241" s="5"/>
      <c r="G241" s="5"/>
    </row>
    <row r="242" spans="1:7" x14ac:dyDescent="0.25">
      <c r="A242" s="9" t="str">
        <f t="shared" si="12"/>
        <v>01 MASTER REQUEST - SLAVE POLL</v>
      </c>
      <c r="B242" t="s">
        <v>36</v>
      </c>
      <c r="C242" s="7" t="str">
        <f t="shared" si="13"/>
        <v>10</v>
      </c>
      <c r="D242" s="8" t="s">
        <v>109</v>
      </c>
      <c r="E242" s="7" t="str">
        <f t="shared" si="14"/>
        <v>31</v>
      </c>
      <c r="F242" s="5"/>
      <c r="G242" s="5"/>
    </row>
    <row r="243" spans="1:7" x14ac:dyDescent="0.25">
      <c r="A243" s="9" t="str">
        <f t="shared" si="12"/>
        <v>00 STATUS - PLAYING</v>
      </c>
      <c r="B243" t="s">
        <v>35</v>
      </c>
      <c r="C243" s="7" t="str">
        <f t="shared" si="13"/>
        <v>31</v>
      </c>
      <c r="D243" s="8" t="s">
        <v>109</v>
      </c>
      <c r="E243" s="7" t="str">
        <f t="shared" si="14"/>
        <v>10</v>
      </c>
      <c r="F243" s="5"/>
      <c r="G243" s="5"/>
    </row>
    <row r="244" spans="1:7" x14ac:dyDescent="0.25">
      <c r="A244" s="9" t="str">
        <f t="shared" si="12"/>
        <v>84 REQUEST MORE TEXT FIELDS - SEND MAGAZINE INFO</v>
      </c>
      <c r="B244" t="s">
        <v>14</v>
      </c>
      <c r="C244" s="7" t="str">
        <f t="shared" si="13"/>
        <v>10</v>
      </c>
      <c r="D244" s="8" t="s">
        <v>109</v>
      </c>
      <c r="E244" s="7" t="str">
        <f t="shared" si="14"/>
        <v>31</v>
      </c>
      <c r="F244" s="5"/>
      <c r="G244" s="5"/>
    </row>
    <row r="245" spans="1:7" x14ac:dyDescent="0.25">
      <c r="A245" s="9" t="str">
        <f t="shared" si="12"/>
        <v>01 MASTER REQUEST - TIME POLL</v>
      </c>
      <c r="B245" t="s">
        <v>34</v>
      </c>
      <c r="C245" s="7" t="str">
        <f t="shared" si="13"/>
        <v>10</v>
      </c>
      <c r="D245" s="8" t="s">
        <v>109</v>
      </c>
      <c r="E245" s="7" t="str">
        <f t="shared" si="14"/>
        <v>31</v>
      </c>
      <c r="F245" s="5"/>
      <c r="G245" s="5"/>
    </row>
    <row r="246" spans="1:7" x14ac:dyDescent="0.25">
      <c r="A246" s="9" t="str">
        <f t="shared" si="12"/>
        <v>00 STATUS - PLAYING</v>
      </c>
      <c r="B246" t="s">
        <v>35</v>
      </c>
      <c r="C246" s="7" t="str">
        <f t="shared" si="13"/>
        <v>31</v>
      </c>
      <c r="D246" s="8" t="s">
        <v>109</v>
      </c>
      <c r="E246" s="7" t="str">
        <f t="shared" si="14"/>
        <v>10</v>
      </c>
      <c r="F246" s="5"/>
      <c r="G246" s="5"/>
    </row>
    <row r="247" spans="1:7" x14ac:dyDescent="0.25">
      <c r="A247" s="9" t="str">
        <f t="shared" si="12"/>
        <v>84 REQUEST MORE TEXT FIELDS - SEND DISC INFO</v>
      </c>
      <c r="B247" t="s">
        <v>17</v>
      </c>
      <c r="C247" s="7" t="str">
        <f t="shared" si="13"/>
        <v>10</v>
      </c>
      <c r="D247" s="8" t="s">
        <v>109</v>
      </c>
      <c r="E247" s="7" t="str">
        <f t="shared" si="14"/>
        <v>31</v>
      </c>
      <c r="F247" s="5"/>
      <c r="G247" s="5"/>
    </row>
    <row r="248" spans="1:7" x14ac:dyDescent="0.25">
      <c r="A248" s="9" t="str">
        <f t="shared" si="12"/>
        <v>01 MASTER REQUEST - SLAVE POLL</v>
      </c>
      <c r="B248" t="s">
        <v>36</v>
      </c>
      <c r="C248" s="7" t="str">
        <f t="shared" si="13"/>
        <v>10</v>
      </c>
      <c r="D248" s="8" t="s">
        <v>109</v>
      </c>
      <c r="E248" s="7" t="str">
        <f t="shared" si="14"/>
        <v>31</v>
      </c>
      <c r="F248" s="5"/>
      <c r="G248" s="5"/>
    </row>
    <row r="249" spans="1:7" x14ac:dyDescent="0.25">
      <c r="A249" s="9" t="str">
        <f t="shared" si="12"/>
        <v>95 MAGAZINE INFO - CD1 YES, CD2 YES, CD3 NO, CD4 NO, CD5 NO, CD6 NO</v>
      </c>
      <c r="B249" t="s">
        <v>37</v>
      </c>
      <c r="C249" s="7" t="str">
        <f t="shared" si="13"/>
        <v>31</v>
      </c>
      <c r="D249" s="8" t="s">
        <v>109</v>
      </c>
      <c r="E249" s="7" t="str">
        <f t="shared" si="14"/>
        <v>10</v>
      </c>
      <c r="F249" s="5"/>
      <c r="G249" s="5"/>
    </row>
    <row r="250" spans="1:7" x14ac:dyDescent="0.25">
      <c r="A250" s="9" t="str">
        <f t="shared" si="12"/>
        <v>01 MASTER REQUEST - SLAVE POLL</v>
      </c>
      <c r="B250" t="s">
        <v>36</v>
      </c>
      <c r="C250" s="7" t="str">
        <f t="shared" si="13"/>
        <v>10</v>
      </c>
      <c r="D250" s="8" t="s">
        <v>109</v>
      </c>
      <c r="E250" s="7" t="str">
        <f t="shared" si="14"/>
        <v>31</v>
      </c>
      <c r="F250" s="5"/>
      <c r="G250" s="5"/>
    </row>
    <row r="251" spans="1:7" x14ac:dyDescent="0.25">
      <c r="A251" s="9" t="str">
        <f t="shared" si="12"/>
        <v>97 DISC INFO - TRACKS: 69, MINS: 88, SECS: 00, DISC: 2</v>
      </c>
      <c r="B251" t="s">
        <v>38</v>
      </c>
      <c r="C251" s="7" t="str">
        <f t="shared" si="13"/>
        <v>31</v>
      </c>
      <c r="D251" s="8" t="s">
        <v>109</v>
      </c>
      <c r="E251" s="7" t="str">
        <f t="shared" si="14"/>
        <v>10</v>
      </c>
      <c r="F251" s="5"/>
      <c r="G251" s="5"/>
    </row>
    <row r="252" spans="1:7" x14ac:dyDescent="0.25">
      <c r="A252" s="9" t="str">
        <f t="shared" si="12"/>
        <v>01 MASTER REQUEST - SLAVE POLL</v>
      </c>
      <c r="B252" t="s">
        <v>36</v>
      </c>
      <c r="C252" s="7" t="str">
        <f t="shared" si="13"/>
        <v>10</v>
      </c>
      <c r="D252" s="8" t="s">
        <v>109</v>
      </c>
      <c r="E252" s="7" t="str">
        <f t="shared" si="14"/>
        <v>31</v>
      </c>
      <c r="F252" s="5"/>
      <c r="G252" s="5"/>
    </row>
    <row r="253" spans="1:7" x14ac:dyDescent="0.25">
      <c r="A253" s="9" t="str">
        <f t="shared" si="12"/>
        <v>90 TIME- TRACK: 01, 00:02, DISC: 2</v>
      </c>
      <c r="B253" t="s">
        <v>70</v>
      </c>
      <c r="C253" s="7" t="str">
        <f t="shared" si="13"/>
        <v>31</v>
      </c>
      <c r="D253" s="8" t="s">
        <v>109</v>
      </c>
      <c r="E253" s="7" t="str">
        <f t="shared" si="14"/>
        <v>70</v>
      </c>
      <c r="F253" s="5"/>
      <c r="G253" s="5"/>
    </row>
    <row r="254" spans="1:7" x14ac:dyDescent="0.25">
      <c r="A254" s="9" t="str">
        <f t="shared" si="12"/>
        <v>01 MASTER REQUEST - SLAVE POLL</v>
      </c>
      <c r="B254" t="s">
        <v>36</v>
      </c>
      <c r="C254" s="7" t="str">
        <f t="shared" si="13"/>
        <v>10</v>
      </c>
      <c r="D254" s="8" t="s">
        <v>109</v>
      </c>
      <c r="E254" s="7" t="str">
        <f t="shared" si="14"/>
        <v>31</v>
      </c>
      <c r="F254" s="5"/>
      <c r="G254" s="5"/>
    </row>
    <row r="255" spans="1:7" x14ac:dyDescent="0.25">
      <c r="A255" s="9" t="str">
        <f t="shared" si="12"/>
        <v>00 STATUS - PLAYING</v>
      </c>
      <c r="B255" t="s">
        <v>35</v>
      </c>
      <c r="C255" s="7" t="str">
        <f t="shared" si="13"/>
        <v>31</v>
      </c>
      <c r="D255" s="8" t="s">
        <v>109</v>
      </c>
      <c r="E255" s="7" t="str">
        <f t="shared" si="14"/>
        <v>10</v>
      </c>
      <c r="F255" s="5"/>
      <c r="G255" s="5"/>
    </row>
    <row r="256" spans="1:7" x14ac:dyDescent="0.25">
      <c r="A256" s="9" t="str">
        <f t="shared" si="12"/>
        <v>84 REQUEST MORE TEXT FIELDS - SEND MAGAZINE INFO</v>
      </c>
      <c r="B256" t="s">
        <v>14</v>
      </c>
      <c r="C256" s="7" t="str">
        <f t="shared" si="13"/>
        <v>10</v>
      </c>
      <c r="D256" s="8" t="s">
        <v>109</v>
      </c>
      <c r="E256" s="7" t="str">
        <f t="shared" si="14"/>
        <v>31</v>
      </c>
      <c r="F256" s="5"/>
      <c r="G256" s="5"/>
    </row>
    <row r="257" spans="1:7" x14ac:dyDescent="0.25">
      <c r="A257" s="9" t="str">
        <f t="shared" si="12"/>
        <v>01 MASTER REQUEST - TIME POLL</v>
      </c>
      <c r="B257" t="s">
        <v>34</v>
      </c>
      <c r="C257" s="7" t="str">
        <f t="shared" si="13"/>
        <v>10</v>
      </c>
      <c r="D257" s="8" t="s">
        <v>109</v>
      </c>
      <c r="E257" s="7" t="str">
        <f t="shared" si="14"/>
        <v>31</v>
      </c>
      <c r="F257" s="5"/>
      <c r="G257" s="5"/>
    </row>
    <row r="258" spans="1:7" x14ac:dyDescent="0.25">
      <c r="A258" s="9" t="str">
        <f t="shared" si="12"/>
        <v>00 STATUS - PLAYING</v>
      </c>
      <c r="B258" t="s">
        <v>35</v>
      </c>
      <c r="C258" s="7" t="str">
        <f t="shared" si="13"/>
        <v>31</v>
      </c>
      <c r="D258" s="8" t="s">
        <v>109</v>
      </c>
      <c r="E258" s="7" t="str">
        <f t="shared" si="14"/>
        <v>10</v>
      </c>
      <c r="F258" s="5"/>
      <c r="G258" s="5"/>
    </row>
    <row r="259" spans="1:7" x14ac:dyDescent="0.25">
      <c r="A259" s="9" t="str">
        <f t="shared" ref="A259:A322" si="15">ParseUnilink(B259)</f>
        <v>84 REQUEST MORE TEXT FIELDS - SEND DISC INFO</v>
      </c>
      <c r="B259" t="s">
        <v>17</v>
      </c>
      <c r="C259" s="7" t="str">
        <f t="shared" ref="C259:C322" si="16">MID(B259,4,2)</f>
        <v>10</v>
      </c>
      <c r="D259" s="8" t="s">
        <v>109</v>
      </c>
      <c r="E259" s="7" t="str">
        <f t="shared" ref="E259:E322" si="17">MID(B259,1,2)</f>
        <v>31</v>
      </c>
      <c r="F259" s="5"/>
      <c r="G259" s="5"/>
    </row>
    <row r="260" spans="1:7" x14ac:dyDescent="0.25">
      <c r="A260" s="9" t="str">
        <f t="shared" si="15"/>
        <v>01 MASTER REQUEST - SLAVE POLL</v>
      </c>
      <c r="B260" t="s">
        <v>36</v>
      </c>
      <c r="C260" s="7" t="str">
        <f t="shared" si="16"/>
        <v>10</v>
      </c>
      <c r="D260" s="8" t="s">
        <v>109</v>
      </c>
      <c r="E260" s="7" t="str">
        <f t="shared" si="17"/>
        <v>31</v>
      </c>
      <c r="F260" s="5"/>
      <c r="G260" s="5"/>
    </row>
    <row r="261" spans="1:7" x14ac:dyDescent="0.25">
      <c r="A261" s="9" t="str">
        <f t="shared" si="15"/>
        <v>90 TIME- TRACK: 01, 00:03, DISC: 2</v>
      </c>
      <c r="B261" t="s">
        <v>39</v>
      </c>
      <c r="C261" s="7" t="str">
        <f t="shared" si="16"/>
        <v>31</v>
      </c>
      <c r="D261" s="8" t="s">
        <v>109</v>
      </c>
      <c r="E261" s="7" t="str">
        <f t="shared" si="17"/>
        <v>70</v>
      </c>
      <c r="F261" s="5"/>
      <c r="G261" s="5"/>
    </row>
    <row r="262" spans="1:7" x14ac:dyDescent="0.25">
      <c r="A262" s="9" t="str">
        <f t="shared" si="15"/>
        <v>01 MASTER REQUEST - SLAVE POLL</v>
      </c>
      <c r="B262" t="s">
        <v>36</v>
      </c>
      <c r="C262" s="7" t="str">
        <f t="shared" si="16"/>
        <v>10</v>
      </c>
      <c r="D262" s="8" t="s">
        <v>109</v>
      </c>
      <c r="E262" s="7" t="str">
        <f t="shared" si="17"/>
        <v>31</v>
      </c>
      <c r="F262" s="5"/>
      <c r="G262" s="5"/>
    </row>
    <row r="263" spans="1:7" x14ac:dyDescent="0.25">
      <c r="A263" s="9" t="str">
        <f t="shared" si="15"/>
        <v>95 MAGAZINE INFO - CD1 YES, CD2 YES, CD3 NO, CD4 NO, CD5 NO, CD6 NO</v>
      </c>
      <c r="B263" t="s">
        <v>37</v>
      </c>
      <c r="C263" s="7" t="str">
        <f t="shared" si="16"/>
        <v>31</v>
      </c>
      <c r="D263" s="8" t="s">
        <v>109</v>
      </c>
      <c r="E263" s="7" t="str">
        <f t="shared" si="17"/>
        <v>10</v>
      </c>
      <c r="F263" s="5"/>
      <c r="G263" s="5"/>
    </row>
    <row r="264" spans="1:7" x14ac:dyDescent="0.25">
      <c r="A264" s="9" t="str">
        <f t="shared" si="15"/>
        <v>01 MASTER REQUEST - SLAVE POLL</v>
      </c>
      <c r="B264" t="s">
        <v>36</v>
      </c>
      <c r="C264" s="7" t="str">
        <f t="shared" si="16"/>
        <v>10</v>
      </c>
      <c r="D264" s="8" t="s">
        <v>109</v>
      </c>
      <c r="E264" s="7" t="str">
        <f t="shared" si="17"/>
        <v>31</v>
      </c>
      <c r="F264" s="5"/>
      <c r="G264" s="5"/>
    </row>
    <row r="265" spans="1:7" x14ac:dyDescent="0.25">
      <c r="A265" s="9" t="str">
        <f t="shared" si="15"/>
        <v>97 DISC INFO - TRACKS: 69, MINS: 88, SECS: 00, DISC: 2</v>
      </c>
      <c r="B265" t="s">
        <v>38</v>
      </c>
      <c r="C265" s="7" t="str">
        <f t="shared" si="16"/>
        <v>31</v>
      </c>
      <c r="D265" s="8" t="s">
        <v>109</v>
      </c>
      <c r="E265" s="7" t="str">
        <f t="shared" si="17"/>
        <v>10</v>
      </c>
      <c r="F265" s="5"/>
      <c r="G265" s="5"/>
    </row>
    <row r="266" spans="1:7" x14ac:dyDescent="0.25">
      <c r="A266" s="9" t="str">
        <f t="shared" si="15"/>
        <v>01 MASTER REQUEST - SLAVE POLL</v>
      </c>
      <c r="B266" t="s">
        <v>36</v>
      </c>
      <c r="C266" s="7" t="str">
        <f t="shared" si="16"/>
        <v>10</v>
      </c>
      <c r="D266" s="8" t="s">
        <v>109</v>
      </c>
      <c r="E266" s="7" t="str">
        <f t="shared" si="17"/>
        <v>31</v>
      </c>
      <c r="F266" s="5"/>
      <c r="G266" s="5"/>
    </row>
    <row r="267" spans="1:7" x14ac:dyDescent="0.25">
      <c r="A267" s="9" t="str">
        <f t="shared" si="15"/>
        <v>00 STATUS - PLAYING</v>
      </c>
      <c r="B267" t="s">
        <v>35</v>
      </c>
      <c r="C267" s="7" t="str">
        <f t="shared" si="16"/>
        <v>31</v>
      </c>
      <c r="D267" s="8" t="s">
        <v>109</v>
      </c>
      <c r="E267" s="7" t="str">
        <f t="shared" si="17"/>
        <v>10</v>
      </c>
      <c r="F267" s="5"/>
      <c r="G267" s="5"/>
    </row>
    <row r="268" spans="1:7" x14ac:dyDescent="0.25">
      <c r="A268" s="9" t="str">
        <f t="shared" si="15"/>
        <v>24 FAST FORWARD (FROM MASTER)</v>
      </c>
      <c r="B268" t="s">
        <v>71</v>
      </c>
      <c r="C268" s="7" t="str">
        <f t="shared" si="16"/>
        <v>11</v>
      </c>
      <c r="D268" s="8" t="s">
        <v>109</v>
      </c>
      <c r="E268" s="7" t="str">
        <f t="shared" si="17"/>
        <v>31</v>
      </c>
      <c r="F268" s="5"/>
      <c r="G268" s="5"/>
    </row>
    <row r="269" spans="1:7" x14ac:dyDescent="0.25">
      <c r="A269" s="9" t="str">
        <f t="shared" si="15"/>
        <v>01 MASTER REQUEST - SLAVE POLL</v>
      </c>
      <c r="B269" t="s">
        <v>36</v>
      </c>
      <c r="C269" s="7" t="str">
        <f t="shared" si="16"/>
        <v>10</v>
      </c>
      <c r="D269" s="8" t="s">
        <v>109</v>
      </c>
      <c r="E269" s="7" t="str">
        <f t="shared" si="17"/>
        <v>31</v>
      </c>
      <c r="F269" s="5"/>
      <c r="G269" s="5"/>
    </row>
    <row r="270" spans="1:7" x14ac:dyDescent="0.25">
      <c r="A270" s="9" t="str">
        <f t="shared" si="15"/>
        <v>C0 SEEKING TO - (NO PARITY2???) XCARLINK BUG, ALFA 166 ICS DOESN'T ALLOW 13 BYTE RESPONSES!</v>
      </c>
      <c r="B270" t="s">
        <v>72</v>
      </c>
      <c r="C270" s="7" t="str">
        <f t="shared" si="16"/>
        <v>31</v>
      </c>
      <c r="D270" s="8" t="s">
        <v>109</v>
      </c>
      <c r="E270" s="7" t="str">
        <f t="shared" si="17"/>
        <v>77</v>
      </c>
      <c r="F270" s="5"/>
      <c r="G270" s="5"/>
    </row>
    <row r="271" spans="1:7" x14ac:dyDescent="0.25">
      <c r="A271" s="9" t="str">
        <f t="shared" si="15"/>
        <v>01 MASTER REQUEST - SLAVE POLL</v>
      </c>
      <c r="B271" t="s">
        <v>36</v>
      </c>
      <c r="C271" s="7" t="str">
        <f t="shared" si="16"/>
        <v>10</v>
      </c>
      <c r="D271" s="8" t="s">
        <v>109</v>
      </c>
      <c r="E271" s="7" t="str">
        <f t="shared" si="17"/>
        <v>31</v>
      </c>
      <c r="F271" s="5"/>
      <c r="G271" s="5"/>
    </row>
    <row r="272" spans="1:7" x14ac:dyDescent="0.25">
      <c r="A272" s="9" t="str">
        <f t="shared" si="15"/>
        <v>00 STATUS - ???</v>
      </c>
      <c r="B272" t="s">
        <v>73</v>
      </c>
      <c r="C272" s="7" t="str">
        <f t="shared" si="16"/>
        <v>31</v>
      </c>
      <c r="D272" s="8" t="s">
        <v>109</v>
      </c>
      <c r="E272" s="7" t="str">
        <f t="shared" si="17"/>
        <v>10</v>
      </c>
      <c r="F272" s="5"/>
      <c r="G272" s="5"/>
    </row>
    <row r="273" spans="1:7" x14ac:dyDescent="0.25">
      <c r="A273" s="9" t="str">
        <f t="shared" si="15"/>
        <v>01 MASTER REQUEST - SLAVE POLL</v>
      </c>
      <c r="B273" t="s">
        <v>36</v>
      </c>
      <c r="C273" s="7" t="str">
        <f t="shared" si="16"/>
        <v>10</v>
      </c>
      <c r="D273" s="8" t="s">
        <v>109</v>
      </c>
      <c r="E273" s="7" t="str">
        <f t="shared" si="17"/>
        <v>31</v>
      </c>
      <c r="F273" s="5"/>
      <c r="G273" s="5"/>
    </row>
    <row r="274" spans="1:7" x14ac:dyDescent="0.25">
      <c r="A274" s="9" t="str">
        <f t="shared" si="15"/>
        <v>90 TIME- TRACK: 01, 00:03, DISC: 2</v>
      </c>
      <c r="B274" t="s">
        <v>74</v>
      </c>
      <c r="C274" s="7" t="str">
        <f t="shared" si="16"/>
        <v>31</v>
      </c>
      <c r="D274" s="8" t="s">
        <v>109</v>
      </c>
      <c r="E274" s="7" t="str">
        <f t="shared" si="17"/>
        <v>70</v>
      </c>
      <c r="F274" s="5"/>
      <c r="G274" s="5"/>
    </row>
    <row r="275" spans="1:7" x14ac:dyDescent="0.25">
      <c r="A275" s="9" t="str">
        <f t="shared" si="15"/>
        <v>01 MASTER REQUEST - SLAVE POLL</v>
      </c>
      <c r="B275" t="s">
        <v>36</v>
      </c>
      <c r="C275" s="7" t="str">
        <f t="shared" si="16"/>
        <v>10</v>
      </c>
      <c r="D275" s="8" t="s">
        <v>109</v>
      </c>
      <c r="E275" s="7" t="str">
        <f t="shared" si="17"/>
        <v>31</v>
      </c>
      <c r="F275" s="5"/>
      <c r="G275" s="5"/>
    </row>
    <row r="276" spans="1:7" x14ac:dyDescent="0.25">
      <c r="A276" s="9" t="str">
        <f t="shared" si="15"/>
        <v>00 STATUS - ???</v>
      </c>
      <c r="B276" t="s">
        <v>73</v>
      </c>
      <c r="C276" s="7" t="str">
        <f t="shared" si="16"/>
        <v>31</v>
      </c>
      <c r="D276" s="8" t="s">
        <v>109</v>
      </c>
      <c r="E276" s="7" t="str">
        <f t="shared" si="17"/>
        <v>10</v>
      </c>
      <c r="F276" s="5"/>
      <c r="G276" s="5"/>
    </row>
    <row r="277" spans="1:7" x14ac:dyDescent="0.25">
      <c r="A277" s="9" t="str">
        <f t="shared" si="15"/>
        <v>84 REQUEST MORE TEXT FIELDS - SEND MAGAZINE INFO</v>
      </c>
      <c r="B277" t="s">
        <v>14</v>
      </c>
      <c r="C277" s="7" t="str">
        <f t="shared" si="16"/>
        <v>10</v>
      </c>
      <c r="D277" s="8" t="s">
        <v>109</v>
      </c>
      <c r="E277" s="7" t="str">
        <f t="shared" si="17"/>
        <v>31</v>
      </c>
      <c r="F277" s="5"/>
      <c r="G277" s="5"/>
    </row>
    <row r="278" spans="1:7" x14ac:dyDescent="0.25">
      <c r="A278" s="9" t="str">
        <f t="shared" si="15"/>
        <v>01 MASTER REQUEST - TIME POLL</v>
      </c>
      <c r="B278" t="s">
        <v>34</v>
      </c>
      <c r="C278" s="7" t="str">
        <f t="shared" si="16"/>
        <v>10</v>
      </c>
      <c r="D278" s="8" t="s">
        <v>109</v>
      </c>
      <c r="E278" s="7" t="str">
        <f t="shared" si="17"/>
        <v>31</v>
      </c>
      <c r="F278" s="5"/>
      <c r="G278" s="5"/>
    </row>
    <row r="279" spans="1:7" x14ac:dyDescent="0.25">
      <c r="A279" s="9" t="str">
        <f t="shared" si="15"/>
        <v>00 STATUS - PLAYING</v>
      </c>
      <c r="B279" t="s">
        <v>35</v>
      </c>
      <c r="C279" s="7" t="str">
        <f t="shared" si="16"/>
        <v>31</v>
      </c>
      <c r="D279" s="8" t="s">
        <v>109</v>
      </c>
      <c r="E279" s="7" t="str">
        <f t="shared" si="17"/>
        <v>10</v>
      </c>
      <c r="F279" s="5"/>
      <c r="G279" s="5"/>
    </row>
    <row r="280" spans="1:7" x14ac:dyDescent="0.25">
      <c r="A280" s="9" t="str">
        <f t="shared" si="15"/>
        <v>84 REQUEST MORE TEXT FIELDS - SEND DISC INFO</v>
      </c>
      <c r="B280" t="s">
        <v>17</v>
      </c>
      <c r="C280" s="7" t="str">
        <f t="shared" si="16"/>
        <v>10</v>
      </c>
      <c r="D280" s="8" t="s">
        <v>109</v>
      </c>
      <c r="E280" s="7" t="str">
        <f t="shared" si="17"/>
        <v>31</v>
      </c>
      <c r="F280" s="5"/>
      <c r="G280" s="5"/>
    </row>
    <row r="281" spans="1:7" x14ac:dyDescent="0.25">
      <c r="A281" s="9" t="str">
        <f t="shared" si="15"/>
        <v>01 MASTER REQUEST - SLAVE POLL</v>
      </c>
      <c r="B281" t="s">
        <v>36</v>
      </c>
      <c r="C281" s="7" t="str">
        <f t="shared" si="16"/>
        <v>10</v>
      </c>
      <c r="D281" s="8" t="s">
        <v>109</v>
      </c>
      <c r="E281" s="7" t="str">
        <f t="shared" si="17"/>
        <v>31</v>
      </c>
      <c r="F281" s="5"/>
      <c r="G281" s="5"/>
    </row>
    <row r="282" spans="1:7" x14ac:dyDescent="0.25">
      <c r="A282" s="9" t="str">
        <f t="shared" si="15"/>
        <v>95 MAGAZINE INFO - CD1 YES, CD2 YES, CD3 NO, CD4 NO, CD5 NO, CD6 NO</v>
      </c>
      <c r="B282" t="s">
        <v>37</v>
      </c>
      <c r="C282" s="7" t="str">
        <f t="shared" si="16"/>
        <v>31</v>
      </c>
      <c r="D282" s="8" t="s">
        <v>109</v>
      </c>
      <c r="E282" s="7" t="str">
        <f t="shared" si="17"/>
        <v>10</v>
      </c>
      <c r="F282" s="5"/>
      <c r="G282" s="5"/>
    </row>
    <row r="283" spans="1:7" x14ac:dyDescent="0.25">
      <c r="A283" s="9" t="str">
        <f t="shared" si="15"/>
        <v>01 MASTER REQUEST - SLAVE POLL</v>
      </c>
      <c r="B283" t="s">
        <v>36</v>
      </c>
      <c r="C283" s="7" t="str">
        <f t="shared" si="16"/>
        <v>10</v>
      </c>
      <c r="D283" s="8" t="s">
        <v>109</v>
      </c>
      <c r="E283" s="7" t="str">
        <f t="shared" si="17"/>
        <v>31</v>
      </c>
      <c r="F283" s="5"/>
      <c r="G283" s="5"/>
    </row>
    <row r="284" spans="1:7" x14ac:dyDescent="0.25">
      <c r="A284" s="9" t="str">
        <f t="shared" si="15"/>
        <v>97 DISC INFO - TRACKS: 69, MINS: 88, SECS: 00, DISC: 2</v>
      </c>
      <c r="B284" t="s">
        <v>38</v>
      </c>
      <c r="C284" s="7" t="str">
        <f t="shared" si="16"/>
        <v>31</v>
      </c>
      <c r="D284" s="8" t="s">
        <v>109</v>
      </c>
      <c r="E284" s="7" t="str">
        <f t="shared" si="17"/>
        <v>10</v>
      </c>
      <c r="F284" s="5"/>
      <c r="G284" s="5"/>
    </row>
    <row r="285" spans="1:7" x14ac:dyDescent="0.25">
      <c r="A285" s="9" t="str">
        <f t="shared" si="15"/>
        <v>01 MASTER REQUEST - SLAVE POLL</v>
      </c>
      <c r="B285" t="s">
        <v>36</v>
      </c>
      <c r="C285" s="7" t="str">
        <f t="shared" si="16"/>
        <v>10</v>
      </c>
      <c r="D285" s="8" t="s">
        <v>109</v>
      </c>
      <c r="E285" s="7" t="str">
        <f t="shared" si="17"/>
        <v>31</v>
      </c>
      <c r="F285" s="5"/>
      <c r="G285" s="5"/>
    </row>
    <row r="286" spans="1:7" x14ac:dyDescent="0.25">
      <c r="A286" s="9" t="str">
        <f t="shared" si="15"/>
        <v>90 TIME- TRACK: 01, 00:15, DISC: 2</v>
      </c>
      <c r="B286" t="s">
        <v>75</v>
      </c>
      <c r="C286" s="7" t="str">
        <f t="shared" si="16"/>
        <v>31</v>
      </c>
      <c r="D286" s="8" t="s">
        <v>109</v>
      </c>
      <c r="E286" s="7" t="str">
        <f t="shared" si="17"/>
        <v>70</v>
      </c>
      <c r="F286" s="5"/>
      <c r="G286" s="5"/>
    </row>
    <row r="287" spans="1:7" x14ac:dyDescent="0.25">
      <c r="A287" s="9" t="str">
        <f t="shared" si="15"/>
        <v>01 MASTER REQUEST - SLAVE POLL</v>
      </c>
      <c r="B287" t="s">
        <v>36</v>
      </c>
      <c r="C287" s="7" t="str">
        <f t="shared" si="16"/>
        <v>10</v>
      </c>
      <c r="D287" s="8" t="s">
        <v>109</v>
      </c>
      <c r="E287" s="7" t="str">
        <f t="shared" si="17"/>
        <v>31</v>
      </c>
      <c r="F287" s="5"/>
      <c r="G287" s="5"/>
    </row>
    <row r="288" spans="1:7" x14ac:dyDescent="0.25">
      <c r="A288" s="9" t="str">
        <f t="shared" si="15"/>
        <v>00 STATUS - ???</v>
      </c>
      <c r="B288" t="s">
        <v>73</v>
      </c>
      <c r="C288" s="7" t="str">
        <f t="shared" si="16"/>
        <v>31</v>
      </c>
      <c r="D288" s="8" t="s">
        <v>109</v>
      </c>
      <c r="E288" s="7" t="str">
        <f t="shared" si="17"/>
        <v>10</v>
      </c>
      <c r="F288" s="5"/>
      <c r="G288" s="5"/>
    </row>
    <row r="289" spans="1:7" x14ac:dyDescent="0.25">
      <c r="A289" s="9" t="str">
        <f t="shared" si="15"/>
        <v>01 MASTER REQUEST - SLAVE POLL</v>
      </c>
      <c r="B289" t="s">
        <v>36</v>
      </c>
      <c r="C289" s="7" t="str">
        <f t="shared" si="16"/>
        <v>10</v>
      </c>
      <c r="D289" s="8" t="s">
        <v>109</v>
      </c>
      <c r="E289" s="7" t="str">
        <f t="shared" si="17"/>
        <v>31</v>
      </c>
      <c r="F289" s="5"/>
      <c r="G289" s="5"/>
    </row>
    <row r="290" spans="1:7" x14ac:dyDescent="0.25">
      <c r="A290" s="9" t="str">
        <f t="shared" si="15"/>
        <v>90 TIME- TRACK: 01, 00:24, DISC: 2</v>
      </c>
      <c r="B290" t="s">
        <v>76</v>
      </c>
      <c r="C290" s="7" t="str">
        <f t="shared" si="16"/>
        <v>31</v>
      </c>
      <c r="D290" s="8" t="s">
        <v>109</v>
      </c>
      <c r="E290" s="7" t="str">
        <f t="shared" si="17"/>
        <v>70</v>
      </c>
      <c r="F290" s="5"/>
      <c r="G290" s="5"/>
    </row>
    <row r="291" spans="1:7" x14ac:dyDescent="0.25">
      <c r="A291" s="9" t="str">
        <f t="shared" si="15"/>
        <v>01 MASTER REQUEST - SLAVE POLL</v>
      </c>
      <c r="B291" t="s">
        <v>36</v>
      </c>
      <c r="C291" s="7" t="str">
        <f t="shared" si="16"/>
        <v>10</v>
      </c>
      <c r="D291" s="8" t="s">
        <v>109</v>
      </c>
      <c r="E291" s="7" t="str">
        <f t="shared" si="17"/>
        <v>31</v>
      </c>
      <c r="F291" s="5"/>
      <c r="G291" s="5"/>
    </row>
    <row r="292" spans="1:7" x14ac:dyDescent="0.25">
      <c r="A292" s="9" t="str">
        <f t="shared" si="15"/>
        <v>00 STATUS - ???</v>
      </c>
      <c r="B292" t="s">
        <v>73</v>
      </c>
      <c r="C292" s="7" t="str">
        <f t="shared" si="16"/>
        <v>31</v>
      </c>
      <c r="D292" s="8" t="s">
        <v>109</v>
      </c>
      <c r="E292" s="7" t="str">
        <f t="shared" si="17"/>
        <v>10</v>
      </c>
      <c r="F292" s="5"/>
      <c r="G292" s="5"/>
    </row>
    <row r="293" spans="1:7" x14ac:dyDescent="0.25">
      <c r="A293" s="9" t="str">
        <f t="shared" si="15"/>
        <v>84 REQUEST MORE TEXT FIELDS - SEND MAGAZINE INFO</v>
      </c>
      <c r="B293" t="s">
        <v>14</v>
      </c>
      <c r="C293" s="7" t="str">
        <f t="shared" si="16"/>
        <v>10</v>
      </c>
      <c r="D293" s="8" t="s">
        <v>109</v>
      </c>
      <c r="E293" s="7" t="str">
        <f t="shared" si="17"/>
        <v>31</v>
      </c>
      <c r="F293" s="5"/>
      <c r="G293" s="5"/>
    </row>
    <row r="294" spans="1:7" x14ac:dyDescent="0.25">
      <c r="A294" s="9" t="str">
        <f t="shared" si="15"/>
        <v>01 MASTER REQUEST - TIME POLL</v>
      </c>
      <c r="B294" t="s">
        <v>34</v>
      </c>
      <c r="C294" s="7" t="str">
        <f t="shared" si="16"/>
        <v>10</v>
      </c>
      <c r="D294" s="8" t="s">
        <v>109</v>
      </c>
      <c r="E294" s="7" t="str">
        <f t="shared" si="17"/>
        <v>31</v>
      </c>
      <c r="F294" s="5"/>
      <c r="G294" s="5"/>
    </row>
    <row r="295" spans="1:7" x14ac:dyDescent="0.25">
      <c r="A295" s="9" t="str">
        <f t="shared" si="15"/>
        <v>00 STATUS - PLAYING</v>
      </c>
      <c r="B295" t="s">
        <v>35</v>
      </c>
      <c r="C295" s="7" t="str">
        <f t="shared" si="16"/>
        <v>31</v>
      </c>
      <c r="D295" s="8" t="s">
        <v>109</v>
      </c>
      <c r="E295" s="7" t="str">
        <f t="shared" si="17"/>
        <v>10</v>
      </c>
      <c r="F295" s="5"/>
      <c r="G295" s="5"/>
    </row>
    <row r="296" spans="1:7" x14ac:dyDescent="0.25">
      <c r="A296" s="9" t="str">
        <f t="shared" si="15"/>
        <v>84 REQUEST MORE TEXT FIELDS - SEND DISC INFO</v>
      </c>
      <c r="B296" t="s">
        <v>17</v>
      </c>
      <c r="C296" s="7" t="str">
        <f t="shared" si="16"/>
        <v>10</v>
      </c>
      <c r="D296" s="8" t="s">
        <v>109</v>
      </c>
      <c r="E296" s="7" t="str">
        <f t="shared" si="17"/>
        <v>31</v>
      </c>
      <c r="F296" s="5"/>
      <c r="G296" s="5"/>
    </row>
    <row r="297" spans="1:7" x14ac:dyDescent="0.25">
      <c r="A297" s="9" t="str">
        <f t="shared" si="15"/>
        <v>01 MASTER REQUEST - SLAVE POLL</v>
      </c>
      <c r="B297" t="s">
        <v>36</v>
      </c>
      <c r="C297" s="7" t="str">
        <f t="shared" si="16"/>
        <v>10</v>
      </c>
      <c r="D297" s="8" t="s">
        <v>109</v>
      </c>
      <c r="E297" s="7" t="str">
        <f t="shared" si="17"/>
        <v>31</v>
      </c>
      <c r="F297" s="5"/>
      <c r="G297" s="5"/>
    </row>
    <row r="298" spans="1:7" x14ac:dyDescent="0.25">
      <c r="A298" s="9" t="str">
        <f t="shared" si="15"/>
        <v>95 MAGAZINE INFO - CD1 YES, CD2 YES, CD3 NO, CD4 NO, CD5 NO, CD6 NO</v>
      </c>
      <c r="B298" t="s">
        <v>37</v>
      </c>
      <c r="C298" s="7" t="str">
        <f t="shared" si="16"/>
        <v>31</v>
      </c>
      <c r="D298" s="8" t="s">
        <v>109</v>
      </c>
      <c r="E298" s="7" t="str">
        <f t="shared" si="17"/>
        <v>10</v>
      </c>
      <c r="F298" s="5"/>
      <c r="G298" s="5"/>
    </row>
    <row r="299" spans="1:7" x14ac:dyDescent="0.25">
      <c r="A299" s="9" t="str">
        <f t="shared" si="15"/>
        <v>01 MASTER REQUEST - SLAVE POLL</v>
      </c>
      <c r="B299" t="s">
        <v>36</v>
      </c>
      <c r="C299" s="7" t="str">
        <f t="shared" si="16"/>
        <v>10</v>
      </c>
      <c r="D299" s="8" t="s">
        <v>109</v>
      </c>
      <c r="E299" s="7" t="str">
        <f t="shared" si="17"/>
        <v>31</v>
      </c>
      <c r="F299" s="5"/>
      <c r="G299" s="5"/>
    </row>
    <row r="300" spans="1:7" x14ac:dyDescent="0.25">
      <c r="A300" s="9" t="str">
        <f t="shared" si="15"/>
        <v>97 DISC INFO - TRACKS: 69, MINS: 88, SECS: 00, DISC: 2</v>
      </c>
      <c r="B300" t="s">
        <v>38</v>
      </c>
      <c r="C300" s="7" t="str">
        <f t="shared" si="16"/>
        <v>31</v>
      </c>
      <c r="D300" s="8" t="s">
        <v>109</v>
      </c>
      <c r="E300" s="7" t="str">
        <f t="shared" si="17"/>
        <v>10</v>
      </c>
      <c r="F300" s="5"/>
      <c r="G300" s="5"/>
    </row>
    <row r="301" spans="1:7" x14ac:dyDescent="0.25">
      <c r="A301" s="9" t="str">
        <f t="shared" si="15"/>
        <v>01 MASTER REQUEST - SLAVE POLL</v>
      </c>
      <c r="B301" t="s">
        <v>36</v>
      </c>
      <c r="C301" s="7" t="str">
        <f t="shared" si="16"/>
        <v>10</v>
      </c>
      <c r="D301" s="8" t="s">
        <v>109</v>
      </c>
      <c r="E301" s="7" t="str">
        <f t="shared" si="17"/>
        <v>31</v>
      </c>
      <c r="F301" s="5"/>
      <c r="G301" s="5"/>
    </row>
    <row r="302" spans="1:7" x14ac:dyDescent="0.25">
      <c r="A302" s="9" t="str">
        <f t="shared" si="15"/>
        <v>90 TIME- TRACK: 01, 00:36, DISC: 2</v>
      </c>
      <c r="B302" t="s">
        <v>77</v>
      </c>
      <c r="C302" s="7" t="str">
        <f t="shared" si="16"/>
        <v>31</v>
      </c>
      <c r="D302" s="8" t="s">
        <v>109</v>
      </c>
      <c r="E302" s="7" t="str">
        <f t="shared" si="17"/>
        <v>70</v>
      </c>
      <c r="F302" s="5"/>
      <c r="G302" s="5"/>
    </row>
    <row r="303" spans="1:7" x14ac:dyDescent="0.25">
      <c r="A303" s="9" t="str">
        <f t="shared" si="15"/>
        <v>01 MASTER REQUEST - SLAVE POLL</v>
      </c>
      <c r="B303" t="s">
        <v>36</v>
      </c>
      <c r="C303" s="7" t="str">
        <f t="shared" si="16"/>
        <v>10</v>
      </c>
      <c r="D303" s="8" t="s">
        <v>109</v>
      </c>
      <c r="E303" s="7" t="str">
        <f t="shared" si="17"/>
        <v>31</v>
      </c>
      <c r="F303" s="5"/>
      <c r="G303" s="5"/>
    </row>
    <row r="304" spans="1:7" x14ac:dyDescent="0.25">
      <c r="A304" s="9" t="str">
        <f t="shared" si="15"/>
        <v>00 STATUS - ???</v>
      </c>
      <c r="B304" t="s">
        <v>73</v>
      </c>
      <c r="C304" s="7" t="str">
        <f t="shared" si="16"/>
        <v>31</v>
      </c>
      <c r="D304" s="8" t="s">
        <v>109</v>
      </c>
      <c r="E304" s="7" t="str">
        <f t="shared" si="17"/>
        <v>10</v>
      </c>
      <c r="F304" s="5"/>
      <c r="G304" s="5"/>
    </row>
    <row r="305" spans="1:7" x14ac:dyDescent="0.25">
      <c r="A305" s="9" t="str">
        <f t="shared" si="15"/>
        <v>01 MASTER REQUEST - SLAVE POLL</v>
      </c>
      <c r="B305" t="s">
        <v>36</v>
      </c>
      <c r="C305" s="7" t="str">
        <f t="shared" si="16"/>
        <v>10</v>
      </c>
      <c r="D305" s="8" t="s">
        <v>109</v>
      </c>
      <c r="E305" s="7" t="str">
        <f t="shared" si="17"/>
        <v>31</v>
      </c>
      <c r="F305" s="5"/>
      <c r="G305" s="5"/>
    </row>
    <row r="306" spans="1:7" x14ac:dyDescent="0.25">
      <c r="A306" s="9" t="str">
        <f t="shared" si="15"/>
        <v>90 TIME- TRACK: 01, 00:45, DISC: 2</v>
      </c>
      <c r="B306" t="s">
        <v>78</v>
      </c>
      <c r="C306" s="7" t="str">
        <f t="shared" si="16"/>
        <v>31</v>
      </c>
      <c r="D306" s="8" t="s">
        <v>109</v>
      </c>
      <c r="E306" s="7" t="str">
        <f t="shared" si="17"/>
        <v>70</v>
      </c>
      <c r="F306" s="5"/>
      <c r="G306" s="5"/>
    </row>
    <row r="307" spans="1:7" x14ac:dyDescent="0.25">
      <c r="A307" s="9" t="str">
        <f t="shared" si="15"/>
        <v>01 MASTER REQUEST - SLAVE POLL</v>
      </c>
      <c r="B307" t="s">
        <v>36</v>
      </c>
      <c r="C307" s="7" t="str">
        <f t="shared" si="16"/>
        <v>10</v>
      </c>
      <c r="D307" s="8" t="s">
        <v>109</v>
      </c>
      <c r="E307" s="7" t="str">
        <f t="shared" si="17"/>
        <v>31</v>
      </c>
      <c r="F307" s="5"/>
      <c r="G307" s="5"/>
    </row>
    <row r="308" spans="1:7" x14ac:dyDescent="0.25">
      <c r="A308" s="9" t="str">
        <f t="shared" si="15"/>
        <v>00 STATUS - ???</v>
      </c>
      <c r="B308" t="s">
        <v>73</v>
      </c>
      <c r="C308" s="7" t="str">
        <f t="shared" si="16"/>
        <v>31</v>
      </c>
      <c r="D308" s="8" t="s">
        <v>109</v>
      </c>
      <c r="E308" s="7" t="str">
        <f t="shared" si="17"/>
        <v>10</v>
      </c>
      <c r="F308" s="5"/>
      <c r="G308" s="5"/>
    </row>
    <row r="309" spans="1:7" x14ac:dyDescent="0.25">
      <c r="A309" s="9" t="str">
        <f t="shared" si="15"/>
        <v>84 REQUEST MORE TEXT FIELDS - SEND MAGAZINE INFO</v>
      </c>
      <c r="B309" t="s">
        <v>14</v>
      </c>
      <c r="C309" s="7" t="str">
        <f t="shared" si="16"/>
        <v>10</v>
      </c>
      <c r="D309" s="8" t="s">
        <v>109</v>
      </c>
      <c r="E309" s="7" t="str">
        <f t="shared" si="17"/>
        <v>31</v>
      </c>
      <c r="F309" s="5"/>
      <c r="G309" s="5"/>
    </row>
    <row r="310" spans="1:7" x14ac:dyDescent="0.25">
      <c r="A310" s="9" t="str">
        <f t="shared" si="15"/>
        <v>01 MASTER REQUEST - TIME POLL</v>
      </c>
      <c r="B310" t="s">
        <v>34</v>
      </c>
      <c r="C310" s="7" t="str">
        <f t="shared" si="16"/>
        <v>10</v>
      </c>
      <c r="D310" s="8" t="s">
        <v>109</v>
      </c>
      <c r="E310" s="7" t="str">
        <f t="shared" si="17"/>
        <v>31</v>
      </c>
      <c r="F310" s="5"/>
      <c r="G310" s="5"/>
    </row>
    <row r="311" spans="1:7" x14ac:dyDescent="0.25">
      <c r="A311" s="9" t="str">
        <f t="shared" si="15"/>
        <v>00 STATUS - PLAYING</v>
      </c>
      <c r="B311" t="s">
        <v>35</v>
      </c>
      <c r="C311" s="7" t="str">
        <f t="shared" si="16"/>
        <v>31</v>
      </c>
      <c r="D311" s="8" t="s">
        <v>109</v>
      </c>
      <c r="E311" s="7" t="str">
        <f t="shared" si="17"/>
        <v>10</v>
      </c>
      <c r="F311" s="5"/>
      <c r="G311" s="5"/>
    </row>
    <row r="312" spans="1:7" x14ac:dyDescent="0.25">
      <c r="A312" s="9" t="str">
        <f t="shared" si="15"/>
        <v>84 REQUEST MORE TEXT FIELDS - SEND DISC INFO</v>
      </c>
      <c r="B312" t="s">
        <v>17</v>
      </c>
      <c r="C312" s="7" t="str">
        <f t="shared" si="16"/>
        <v>10</v>
      </c>
      <c r="D312" s="8" t="s">
        <v>109</v>
      </c>
      <c r="E312" s="7" t="str">
        <f t="shared" si="17"/>
        <v>31</v>
      </c>
      <c r="F312" s="5"/>
      <c r="G312" s="5"/>
    </row>
    <row r="313" spans="1:7" x14ac:dyDescent="0.25">
      <c r="A313" s="9" t="str">
        <f t="shared" si="15"/>
        <v>01 MASTER REQUEST - SLAVE POLL</v>
      </c>
      <c r="B313" t="s">
        <v>36</v>
      </c>
      <c r="C313" s="7" t="str">
        <f t="shared" si="16"/>
        <v>10</v>
      </c>
      <c r="D313" s="8" t="s">
        <v>109</v>
      </c>
      <c r="E313" s="7" t="str">
        <f t="shared" si="17"/>
        <v>31</v>
      </c>
      <c r="F313" s="5"/>
      <c r="G313" s="5"/>
    </row>
    <row r="314" spans="1:7" x14ac:dyDescent="0.25">
      <c r="A314" s="9" t="str">
        <f t="shared" si="15"/>
        <v>95 MAGAZINE INFO - CD1 YES, CD2 YES, CD3 NO, CD4 NO, CD5 NO, CD6 NO</v>
      </c>
      <c r="B314" t="s">
        <v>37</v>
      </c>
      <c r="C314" s="7" t="str">
        <f t="shared" si="16"/>
        <v>31</v>
      </c>
      <c r="D314" s="8" t="s">
        <v>109</v>
      </c>
      <c r="E314" s="7" t="str">
        <f t="shared" si="17"/>
        <v>10</v>
      </c>
      <c r="F314" s="5"/>
      <c r="G314" s="5"/>
    </row>
    <row r="315" spans="1:7" x14ac:dyDescent="0.25">
      <c r="A315" s="9" t="str">
        <f t="shared" si="15"/>
        <v>01 MASTER REQUEST - SLAVE POLL</v>
      </c>
      <c r="B315" t="s">
        <v>36</v>
      </c>
      <c r="C315" s="7" t="str">
        <f t="shared" si="16"/>
        <v>10</v>
      </c>
      <c r="D315" s="8" t="s">
        <v>109</v>
      </c>
      <c r="E315" s="7" t="str">
        <f t="shared" si="17"/>
        <v>31</v>
      </c>
      <c r="F315" s="5"/>
      <c r="G315" s="5"/>
    </row>
    <row r="316" spans="1:7" x14ac:dyDescent="0.25">
      <c r="A316" s="9" t="str">
        <f t="shared" si="15"/>
        <v>97 DISC INFO - TRACKS: 69, MINS: 88, SECS: 00, DISC: 2</v>
      </c>
      <c r="B316" t="s">
        <v>38</v>
      </c>
      <c r="C316" s="7" t="str">
        <f t="shared" si="16"/>
        <v>31</v>
      </c>
      <c r="D316" s="8" t="s">
        <v>109</v>
      </c>
      <c r="E316" s="7" t="str">
        <f t="shared" si="17"/>
        <v>10</v>
      </c>
      <c r="F316" s="5"/>
      <c r="G316" s="5"/>
    </row>
    <row r="317" spans="1:7" x14ac:dyDescent="0.25">
      <c r="A317" s="9" t="str">
        <f t="shared" si="15"/>
        <v>01 MASTER REQUEST - SLAVE POLL</v>
      </c>
      <c r="B317" t="s">
        <v>36</v>
      </c>
      <c r="C317" s="7" t="str">
        <f t="shared" si="16"/>
        <v>10</v>
      </c>
      <c r="D317" s="8" t="s">
        <v>109</v>
      </c>
      <c r="E317" s="7" t="str">
        <f t="shared" si="17"/>
        <v>31</v>
      </c>
      <c r="F317" s="5"/>
      <c r="G317" s="5"/>
    </row>
    <row r="318" spans="1:7" x14ac:dyDescent="0.25">
      <c r="A318" s="9" t="str">
        <f t="shared" si="15"/>
        <v>00 STATUS - ???</v>
      </c>
      <c r="B318" t="s">
        <v>73</v>
      </c>
      <c r="C318" s="7" t="str">
        <f t="shared" si="16"/>
        <v>31</v>
      </c>
      <c r="D318" s="8" t="s">
        <v>109</v>
      </c>
      <c r="E318" s="7" t="str">
        <f t="shared" si="17"/>
        <v>10</v>
      </c>
      <c r="F318" s="5"/>
      <c r="G318" s="5"/>
    </row>
    <row r="319" spans="1:7" x14ac:dyDescent="0.25">
      <c r="A319" s="9" t="str">
        <f t="shared" si="15"/>
        <v>01 MASTER REQUEST - SLAVE POLL</v>
      </c>
      <c r="B319" t="s">
        <v>36</v>
      </c>
      <c r="C319" s="7" t="str">
        <f t="shared" si="16"/>
        <v>10</v>
      </c>
      <c r="D319" s="8" t="s">
        <v>109</v>
      </c>
      <c r="E319" s="7" t="str">
        <f t="shared" si="17"/>
        <v>31</v>
      </c>
      <c r="F319" s="5"/>
      <c r="G319" s="5"/>
    </row>
    <row r="320" spans="1:7" x14ac:dyDescent="0.25">
      <c r="A320" s="9" t="str">
        <f t="shared" si="15"/>
        <v>90 TIME- TRACK: 01, 00:57, DISC: 2</v>
      </c>
      <c r="B320" t="s">
        <v>79</v>
      </c>
      <c r="C320" s="7" t="str">
        <f t="shared" si="16"/>
        <v>31</v>
      </c>
      <c r="D320" s="8" t="s">
        <v>109</v>
      </c>
      <c r="E320" s="7" t="str">
        <f t="shared" si="17"/>
        <v>70</v>
      </c>
      <c r="F320" s="5"/>
      <c r="G320" s="5"/>
    </row>
    <row r="321" spans="1:7" x14ac:dyDescent="0.25">
      <c r="A321" s="9" t="str">
        <f t="shared" si="15"/>
        <v>01 MASTER REQUEST - SLAVE POLL</v>
      </c>
      <c r="B321" t="s">
        <v>36</v>
      </c>
      <c r="C321" s="7" t="str">
        <f t="shared" si="16"/>
        <v>10</v>
      </c>
      <c r="D321" s="8" t="s">
        <v>109</v>
      </c>
      <c r="E321" s="7" t="str">
        <f t="shared" si="17"/>
        <v>31</v>
      </c>
      <c r="F321" s="5"/>
      <c r="G321" s="5"/>
    </row>
    <row r="322" spans="1:7" x14ac:dyDescent="0.25">
      <c r="A322" s="9" t="str">
        <f t="shared" si="15"/>
        <v>00 STATUS - ???</v>
      </c>
      <c r="B322" t="s">
        <v>73</v>
      </c>
      <c r="C322" s="7" t="str">
        <f t="shared" si="16"/>
        <v>31</v>
      </c>
      <c r="D322" s="8" t="s">
        <v>109</v>
      </c>
      <c r="E322" s="7" t="str">
        <f t="shared" si="17"/>
        <v>10</v>
      </c>
      <c r="F322" s="5"/>
      <c r="G322" s="5"/>
    </row>
    <row r="323" spans="1:7" x14ac:dyDescent="0.25">
      <c r="A323" s="9" t="str">
        <f t="shared" ref="A323:A386" si="18">ParseUnilink(B323)</f>
        <v>21 SWITCH TO CD?</v>
      </c>
      <c r="B323" t="s">
        <v>80</v>
      </c>
      <c r="C323" s="7" t="str">
        <f t="shared" ref="C323:C386" si="19">MID(B323,4,2)</f>
        <v>11</v>
      </c>
      <c r="D323" s="8" t="s">
        <v>109</v>
      </c>
      <c r="E323" s="7" t="str">
        <f t="shared" ref="E323:E386" si="20">MID(B323,1,2)</f>
        <v>31</v>
      </c>
      <c r="F323" s="5"/>
      <c r="G323" s="5"/>
    </row>
    <row r="324" spans="1:7" x14ac:dyDescent="0.25">
      <c r="A324" s="9" t="str">
        <f t="shared" si="18"/>
        <v>01 MASTER REQUEST - SLAVE POLL</v>
      </c>
      <c r="B324" t="s">
        <v>36</v>
      </c>
      <c r="C324" s="7" t="str">
        <f t="shared" si="19"/>
        <v>10</v>
      </c>
      <c r="D324" s="8" t="s">
        <v>109</v>
      </c>
      <c r="E324" s="7" t="str">
        <f t="shared" si="20"/>
        <v>31</v>
      </c>
      <c r="F324" s="5"/>
      <c r="G324" s="5"/>
    </row>
    <row r="325" spans="1:7" x14ac:dyDescent="0.25">
      <c r="A325" s="9" t="str">
        <f t="shared" si="18"/>
        <v>90 TIME- TRACK: 01, 00:59, DISC: 2</v>
      </c>
      <c r="B325" t="s">
        <v>81</v>
      </c>
      <c r="C325" s="7" t="str">
        <f t="shared" si="19"/>
        <v>31</v>
      </c>
      <c r="D325" s="8" t="s">
        <v>109</v>
      </c>
      <c r="E325" s="7" t="str">
        <f t="shared" si="20"/>
        <v>70</v>
      </c>
      <c r="F325" s="5"/>
      <c r="G325" s="5"/>
    </row>
    <row r="326" spans="1:7" x14ac:dyDescent="0.25">
      <c r="A326" s="9" t="str">
        <f t="shared" si="18"/>
        <v>01 MASTER REQUEST - SLAVE POLL</v>
      </c>
      <c r="B326" t="s">
        <v>36</v>
      </c>
      <c r="C326" s="7" t="str">
        <f t="shared" si="19"/>
        <v>10</v>
      </c>
      <c r="D326" s="8" t="s">
        <v>109</v>
      </c>
      <c r="E326" s="7" t="str">
        <f t="shared" si="20"/>
        <v>31</v>
      </c>
      <c r="F326" s="5"/>
      <c r="G326" s="5"/>
    </row>
    <row r="327" spans="1:7" x14ac:dyDescent="0.25">
      <c r="A327" s="9" t="str">
        <f t="shared" si="18"/>
        <v>00 STATUS - PLAYING</v>
      </c>
      <c r="B327" t="s">
        <v>35</v>
      </c>
      <c r="C327" s="7" t="str">
        <f t="shared" si="19"/>
        <v>31</v>
      </c>
      <c r="D327" s="8" t="s">
        <v>109</v>
      </c>
      <c r="E327" s="7" t="str">
        <f t="shared" si="20"/>
        <v>10</v>
      </c>
      <c r="F327" s="5"/>
      <c r="G327" s="5"/>
    </row>
    <row r="328" spans="1:7" x14ac:dyDescent="0.25">
      <c r="A328" s="9" t="str">
        <f t="shared" si="18"/>
        <v>84 REQUEST MORE TEXT FIELDS - SEND MAGAZINE INFO</v>
      </c>
      <c r="B328" t="s">
        <v>14</v>
      </c>
      <c r="C328" s="7" t="str">
        <f t="shared" si="19"/>
        <v>10</v>
      </c>
      <c r="D328" s="8" t="s">
        <v>109</v>
      </c>
      <c r="E328" s="7" t="str">
        <f t="shared" si="20"/>
        <v>31</v>
      </c>
      <c r="F328" s="5"/>
      <c r="G328" s="5"/>
    </row>
    <row r="329" spans="1:7" x14ac:dyDescent="0.25">
      <c r="A329" s="9" t="str">
        <f t="shared" si="18"/>
        <v>01 MASTER REQUEST - TIME POLL</v>
      </c>
      <c r="B329" t="s">
        <v>34</v>
      </c>
      <c r="C329" s="7" t="str">
        <f t="shared" si="19"/>
        <v>10</v>
      </c>
      <c r="D329" s="8" t="s">
        <v>109</v>
      </c>
      <c r="E329" s="7" t="str">
        <f t="shared" si="20"/>
        <v>31</v>
      </c>
      <c r="F329" s="5"/>
      <c r="G329" s="5"/>
    </row>
    <row r="330" spans="1:7" x14ac:dyDescent="0.25">
      <c r="A330" s="9" t="str">
        <f t="shared" si="18"/>
        <v>00 STATUS - PLAYING</v>
      </c>
      <c r="B330" t="s">
        <v>35</v>
      </c>
      <c r="C330" s="7" t="str">
        <f t="shared" si="19"/>
        <v>31</v>
      </c>
      <c r="D330" s="8" t="s">
        <v>109</v>
      </c>
      <c r="E330" s="7" t="str">
        <f t="shared" si="20"/>
        <v>10</v>
      </c>
      <c r="F330" s="5"/>
      <c r="G330" s="5"/>
    </row>
    <row r="331" spans="1:7" x14ac:dyDescent="0.25">
      <c r="A331" s="9" t="str">
        <f t="shared" si="18"/>
        <v>84 REQUEST MORE TEXT FIELDS - SEND DISC INFO</v>
      </c>
      <c r="B331" t="s">
        <v>17</v>
      </c>
      <c r="C331" s="7" t="str">
        <f t="shared" si="19"/>
        <v>10</v>
      </c>
      <c r="D331" s="8" t="s">
        <v>109</v>
      </c>
      <c r="E331" s="7" t="str">
        <f t="shared" si="20"/>
        <v>31</v>
      </c>
      <c r="F331" s="5"/>
      <c r="G331" s="5"/>
    </row>
    <row r="332" spans="1:7" x14ac:dyDescent="0.25">
      <c r="A332" s="9" t="str">
        <f t="shared" si="18"/>
        <v>01 MASTER REQUEST - SLAVE POLL</v>
      </c>
      <c r="B332" t="s">
        <v>36</v>
      </c>
      <c r="C332" s="7" t="str">
        <f t="shared" si="19"/>
        <v>10</v>
      </c>
      <c r="D332" s="8" t="s">
        <v>109</v>
      </c>
      <c r="E332" s="7" t="str">
        <f t="shared" si="20"/>
        <v>31</v>
      </c>
      <c r="F332" s="5"/>
      <c r="G332" s="5"/>
    </row>
    <row r="333" spans="1:7" x14ac:dyDescent="0.25">
      <c r="A333" s="9" t="str">
        <f t="shared" si="18"/>
        <v>95 MAGAZINE INFO - CD1 YES, CD2 YES, CD3 NO, CD4 NO, CD5 NO, CD6 NO</v>
      </c>
      <c r="B333" t="s">
        <v>37</v>
      </c>
      <c r="C333" s="7" t="str">
        <f t="shared" si="19"/>
        <v>31</v>
      </c>
      <c r="D333" s="8" t="s">
        <v>109</v>
      </c>
      <c r="E333" s="7" t="str">
        <f t="shared" si="20"/>
        <v>10</v>
      </c>
      <c r="F333" s="5"/>
      <c r="G333" s="5"/>
    </row>
    <row r="334" spans="1:7" x14ac:dyDescent="0.25">
      <c r="A334" s="9" t="str">
        <f t="shared" si="18"/>
        <v>01 MASTER REQUEST - SLAVE POLL</v>
      </c>
      <c r="B334" t="s">
        <v>36</v>
      </c>
      <c r="C334" s="7" t="str">
        <f t="shared" si="19"/>
        <v>10</v>
      </c>
      <c r="D334" s="8" t="s">
        <v>109</v>
      </c>
      <c r="E334" s="7" t="str">
        <f t="shared" si="20"/>
        <v>31</v>
      </c>
      <c r="F334" s="5"/>
      <c r="G334" s="5"/>
    </row>
    <row r="335" spans="1:7" x14ac:dyDescent="0.25">
      <c r="A335" s="9" t="str">
        <f t="shared" si="18"/>
        <v>97 DISC INFO - TRACKS: 69, MINS: 88, SECS: 00, DISC: 2</v>
      </c>
      <c r="B335" t="s">
        <v>38</v>
      </c>
      <c r="C335" s="7" t="str">
        <f t="shared" si="19"/>
        <v>31</v>
      </c>
      <c r="D335" s="8" t="s">
        <v>109</v>
      </c>
      <c r="E335" s="7" t="str">
        <f t="shared" si="20"/>
        <v>10</v>
      </c>
      <c r="F335" s="5"/>
      <c r="G335" s="5"/>
    </row>
    <row r="336" spans="1:7" x14ac:dyDescent="0.25">
      <c r="A336" s="9" t="str">
        <f t="shared" si="18"/>
        <v>01 MASTER REQUEST - SLAVE POLL</v>
      </c>
      <c r="B336" t="s">
        <v>36</v>
      </c>
      <c r="C336" s="7" t="str">
        <f t="shared" si="19"/>
        <v>10</v>
      </c>
      <c r="D336" s="8" t="s">
        <v>109</v>
      </c>
      <c r="E336" s="7" t="str">
        <f t="shared" si="20"/>
        <v>31</v>
      </c>
      <c r="F336" s="5"/>
      <c r="G336" s="5"/>
    </row>
    <row r="337" spans="1:7" x14ac:dyDescent="0.25">
      <c r="A337" s="9" t="str">
        <f t="shared" si="18"/>
        <v>90 TIME- TRACK: 01, 01:00, DISC: 2</v>
      </c>
      <c r="B337" t="s">
        <v>82</v>
      </c>
      <c r="C337" s="7" t="str">
        <f t="shared" si="19"/>
        <v>31</v>
      </c>
      <c r="D337" s="8" t="s">
        <v>109</v>
      </c>
      <c r="E337" s="7" t="str">
        <f t="shared" si="20"/>
        <v>70</v>
      </c>
      <c r="F337" s="5"/>
      <c r="G337" s="5"/>
    </row>
    <row r="338" spans="1:7" x14ac:dyDescent="0.25">
      <c r="A338" s="9" t="str">
        <f t="shared" si="18"/>
        <v>01 MASTER REQUEST - SLAVE POLL</v>
      </c>
      <c r="B338" t="s">
        <v>36</v>
      </c>
      <c r="C338" s="7" t="str">
        <f t="shared" si="19"/>
        <v>10</v>
      </c>
      <c r="D338" s="8" t="s">
        <v>109</v>
      </c>
      <c r="E338" s="7" t="str">
        <f t="shared" si="20"/>
        <v>31</v>
      </c>
      <c r="F338" s="5"/>
      <c r="G338" s="5"/>
    </row>
    <row r="339" spans="1:7" x14ac:dyDescent="0.25">
      <c r="A339" s="9" t="str">
        <f t="shared" si="18"/>
        <v>00 STATUS - PLAYING</v>
      </c>
      <c r="B339" t="s">
        <v>35</v>
      </c>
      <c r="C339" s="7" t="str">
        <f t="shared" si="19"/>
        <v>31</v>
      </c>
      <c r="D339" s="8" t="s">
        <v>109</v>
      </c>
      <c r="E339" s="7" t="str">
        <f t="shared" si="20"/>
        <v>10</v>
      </c>
      <c r="F339" s="5"/>
      <c r="G339" s="5"/>
    </row>
    <row r="340" spans="1:7" x14ac:dyDescent="0.25">
      <c r="A340" s="9" t="str">
        <f t="shared" si="18"/>
        <v>01 MASTER REQUEST - SLAVE POLL</v>
      </c>
      <c r="B340" t="s">
        <v>36</v>
      </c>
      <c r="C340" s="7" t="str">
        <f t="shared" si="19"/>
        <v>10</v>
      </c>
      <c r="D340" s="8" t="s">
        <v>109</v>
      </c>
      <c r="E340" s="7" t="str">
        <f t="shared" si="20"/>
        <v>31</v>
      </c>
      <c r="F340" s="5"/>
      <c r="G340" s="5"/>
    </row>
    <row r="341" spans="1:7" x14ac:dyDescent="0.25">
      <c r="A341" s="9" t="str">
        <f t="shared" si="18"/>
        <v>90 TIME- TRACK: 01, 01:01, DISC: 2</v>
      </c>
      <c r="B341" t="s">
        <v>83</v>
      </c>
      <c r="C341" s="7" t="str">
        <f t="shared" si="19"/>
        <v>31</v>
      </c>
      <c r="D341" s="8" t="s">
        <v>109</v>
      </c>
      <c r="E341" s="7" t="str">
        <f t="shared" si="20"/>
        <v>70</v>
      </c>
      <c r="F341" s="5"/>
      <c r="G341" s="5"/>
    </row>
    <row r="342" spans="1:7" x14ac:dyDescent="0.25">
      <c r="A342" s="9" t="str">
        <f t="shared" si="18"/>
        <v>84 REQUEST MORE TEXT FIELDS - SEND MAGAZINE INFO</v>
      </c>
      <c r="B342" t="s">
        <v>14</v>
      </c>
      <c r="C342" s="7" t="str">
        <f t="shared" si="19"/>
        <v>10</v>
      </c>
      <c r="D342" s="8" t="s">
        <v>109</v>
      </c>
      <c r="E342" s="7" t="str">
        <f t="shared" si="20"/>
        <v>31</v>
      </c>
      <c r="F342" s="5"/>
      <c r="G342" s="5"/>
    </row>
    <row r="343" spans="1:7" x14ac:dyDescent="0.25">
      <c r="A343" s="9" t="str">
        <f t="shared" si="18"/>
        <v>01 MASTER REQUEST - TIME POLL</v>
      </c>
      <c r="B343" t="s">
        <v>34</v>
      </c>
      <c r="C343" s="7" t="str">
        <f t="shared" si="19"/>
        <v>10</v>
      </c>
      <c r="D343" s="8" t="s">
        <v>109</v>
      </c>
      <c r="E343" s="7" t="str">
        <f t="shared" si="20"/>
        <v>31</v>
      </c>
      <c r="F343" s="5"/>
      <c r="G343" s="5"/>
    </row>
    <row r="344" spans="1:7" x14ac:dyDescent="0.25">
      <c r="A344" s="9" t="str">
        <f t="shared" si="18"/>
        <v>00 STATUS - PLAYING</v>
      </c>
      <c r="B344" t="s">
        <v>35</v>
      </c>
      <c r="C344" s="7" t="str">
        <f t="shared" si="19"/>
        <v>31</v>
      </c>
      <c r="D344" s="8" t="s">
        <v>109</v>
      </c>
      <c r="E344" s="7" t="str">
        <f t="shared" si="20"/>
        <v>10</v>
      </c>
      <c r="F344" s="5"/>
      <c r="G344" s="5"/>
    </row>
    <row r="345" spans="1:7" x14ac:dyDescent="0.25">
      <c r="A345" s="9" t="str">
        <f t="shared" si="18"/>
        <v>84 REQUEST MORE TEXT FIELDS - SEND DISC INFO</v>
      </c>
      <c r="B345" t="s">
        <v>17</v>
      </c>
      <c r="C345" s="7" t="str">
        <f t="shared" si="19"/>
        <v>10</v>
      </c>
      <c r="D345" s="8" t="s">
        <v>109</v>
      </c>
      <c r="E345" s="7" t="str">
        <f t="shared" si="20"/>
        <v>31</v>
      </c>
      <c r="F345" s="5"/>
      <c r="G345" s="5"/>
    </row>
    <row r="346" spans="1:7" x14ac:dyDescent="0.25">
      <c r="A346" s="9" t="str">
        <f t="shared" si="18"/>
        <v>01 MASTER REQUEST - SLAVE POLL</v>
      </c>
      <c r="B346" t="s">
        <v>36</v>
      </c>
      <c r="C346" s="7" t="str">
        <f t="shared" si="19"/>
        <v>10</v>
      </c>
      <c r="D346" s="8" t="s">
        <v>109</v>
      </c>
      <c r="E346" s="7" t="str">
        <f t="shared" si="20"/>
        <v>31</v>
      </c>
      <c r="F346" s="5"/>
      <c r="G346" s="5"/>
    </row>
    <row r="347" spans="1:7" x14ac:dyDescent="0.25">
      <c r="A347" s="9" t="str">
        <f t="shared" si="18"/>
        <v>95 MAGAZINE INFO - CD1 YES, CD2 YES, CD3 NO, CD4 NO, CD5 NO, CD6 NO</v>
      </c>
      <c r="B347" t="s">
        <v>37</v>
      </c>
      <c r="C347" s="7" t="str">
        <f t="shared" si="19"/>
        <v>31</v>
      </c>
      <c r="D347" s="8" t="s">
        <v>109</v>
      </c>
      <c r="E347" s="7" t="str">
        <f t="shared" si="20"/>
        <v>10</v>
      </c>
      <c r="F347" s="5"/>
      <c r="G347" s="5"/>
    </row>
    <row r="348" spans="1:7" x14ac:dyDescent="0.25">
      <c r="A348" s="9" t="str">
        <f t="shared" si="18"/>
        <v>01 MASTER REQUEST - SLAVE POLL</v>
      </c>
      <c r="B348" t="s">
        <v>36</v>
      </c>
      <c r="C348" s="7" t="str">
        <f t="shared" si="19"/>
        <v>10</v>
      </c>
      <c r="D348" s="8" t="s">
        <v>109</v>
      </c>
      <c r="E348" s="7" t="str">
        <f t="shared" si="20"/>
        <v>31</v>
      </c>
      <c r="F348" s="5"/>
      <c r="G348" s="5"/>
    </row>
    <row r="349" spans="1:7" x14ac:dyDescent="0.25">
      <c r="A349" s="9" t="str">
        <f t="shared" si="18"/>
        <v>97 DISC INFO - TRACKS: 69, MINS: 88, SECS: 00, DISC: 2</v>
      </c>
      <c r="B349" t="s">
        <v>38</v>
      </c>
      <c r="C349" s="7" t="str">
        <f t="shared" si="19"/>
        <v>31</v>
      </c>
      <c r="D349" s="8" t="s">
        <v>109</v>
      </c>
      <c r="E349" s="7" t="str">
        <f t="shared" si="20"/>
        <v>10</v>
      </c>
      <c r="F349" s="5"/>
      <c r="G349" s="5"/>
    </row>
    <row r="350" spans="1:7" x14ac:dyDescent="0.25">
      <c r="A350" s="9" t="str">
        <f t="shared" si="18"/>
        <v>B0 CHANGE TO DISC 2, TRACK 02</v>
      </c>
      <c r="B350" t="s">
        <v>43</v>
      </c>
      <c r="C350" s="7" t="str">
        <f t="shared" si="19"/>
        <v>11</v>
      </c>
      <c r="D350" s="8" t="s">
        <v>109</v>
      </c>
      <c r="E350" s="7" t="str">
        <f t="shared" si="20"/>
        <v>31</v>
      </c>
      <c r="F350" s="5"/>
      <c r="G350" s="5"/>
    </row>
    <row r="351" spans="1:7" x14ac:dyDescent="0.25">
      <c r="A351" s="9" t="str">
        <f t="shared" si="18"/>
        <v>01 MASTER REQUEST - SLAVE POLL</v>
      </c>
      <c r="B351" t="s">
        <v>36</v>
      </c>
      <c r="C351" s="7" t="str">
        <f t="shared" si="19"/>
        <v>10</v>
      </c>
      <c r="D351" s="8" t="s">
        <v>109</v>
      </c>
      <c r="E351" s="7" t="str">
        <f t="shared" si="20"/>
        <v>31</v>
      </c>
      <c r="F351" s="5"/>
      <c r="G351" s="5"/>
    </row>
    <row r="352" spans="1:7" x14ac:dyDescent="0.25">
      <c r="A352" s="9" t="str">
        <f t="shared" si="18"/>
        <v>C0 SEEKING TO - (NO PARITY2???) XCARLINK BUG, ALFA 166 ICS DOESN'T ALLOW 13 BYTE RESPONSES!</v>
      </c>
      <c r="B352" t="s">
        <v>44</v>
      </c>
      <c r="C352" s="7" t="str">
        <f t="shared" si="19"/>
        <v>31</v>
      </c>
      <c r="D352" s="8" t="s">
        <v>109</v>
      </c>
      <c r="E352" s="7" t="str">
        <f t="shared" si="20"/>
        <v>77</v>
      </c>
      <c r="F352" s="5"/>
      <c r="G352" s="5"/>
    </row>
    <row r="353" spans="1:7" x14ac:dyDescent="0.25">
      <c r="A353" s="9" t="str">
        <f t="shared" si="18"/>
        <v>84 REQUEST MORE TEXT FIELDS - SEND MAGAZINE INFO</v>
      </c>
      <c r="B353" t="s">
        <v>14</v>
      </c>
      <c r="C353" s="7" t="str">
        <f t="shared" si="19"/>
        <v>10</v>
      </c>
      <c r="D353" s="8" t="s">
        <v>109</v>
      </c>
      <c r="E353" s="7" t="str">
        <f t="shared" si="20"/>
        <v>31</v>
      </c>
      <c r="F353" s="5"/>
      <c r="G353" s="5"/>
    </row>
    <row r="354" spans="1:7" x14ac:dyDescent="0.25">
      <c r="A354" s="9" t="str">
        <f t="shared" si="18"/>
        <v>01 MASTER REQUEST - TIME POLL</v>
      </c>
      <c r="B354" t="s">
        <v>34</v>
      </c>
      <c r="C354" s="7" t="str">
        <f t="shared" si="19"/>
        <v>10</v>
      </c>
      <c r="D354" s="8" t="s">
        <v>109</v>
      </c>
      <c r="E354" s="7" t="str">
        <f t="shared" si="20"/>
        <v>31</v>
      </c>
      <c r="F354" s="5"/>
      <c r="G354" s="5"/>
    </row>
    <row r="355" spans="1:7" x14ac:dyDescent="0.25">
      <c r="A355" s="9" t="str">
        <f t="shared" si="18"/>
        <v>00 STATUS - PLAYING</v>
      </c>
      <c r="B355" t="s">
        <v>35</v>
      </c>
      <c r="C355" s="7" t="str">
        <f t="shared" si="19"/>
        <v>31</v>
      </c>
      <c r="D355" s="8" t="s">
        <v>109</v>
      </c>
      <c r="E355" s="7" t="str">
        <f t="shared" si="20"/>
        <v>10</v>
      </c>
      <c r="F355" s="5"/>
      <c r="G355" s="5"/>
    </row>
    <row r="356" spans="1:7" x14ac:dyDescent="0.25">
      <c r="A356" s="9" t="str">
        <f t="shared" si="18"/>
        <v>84 REQUEST MORE TEXT FIELDS - SEND DISC INFO</v>
      </c>
      <c r="B356" t="s">
        <v>17</v>
      </c>
      <c r="C356" s="7" t="str">
        <f t="shared" si="19"/>
        <v>10</v>
      </c>
      <c r="D356" s="8" t="s">
        <v>109</v>
      </c>
      <c r="E356" s="7" t="str">
        <f t="shared" si="20"/>
        <v>31</v>
      </c>
      <c r="F356" s="5"/>
      <c r="G356" s="5"/>
    </row>
    <row r="357" spans="1:7" x14ac:dyDescent="0.25">
      <c r="A357" s="9" t="str">
        <f t="shared" si="18"/>
        <v>01 MASTER REQUEST - SLAVE POLL</v>
      </c>
      <c r="B357" t="s">
        <v>36</v>
      </c>
      <c r="C357" s="7" t="str">
        <f t="shared" si="19"/>
        <v>10</v>
      </c>
      <c r="D357" s="8" t="s">
        <v>109</v>
      </c>
      <c r="E357" s="7" t="str">
        <f t="shared" si="20"/>
        <v>31</v>
      </c>
      <c r="F357" s="5"/>
      <c r="G357" s="5"/>
    </row>
    <row r="358" spans="1:7" x14ac:dyDescent="0.25">
      <c r="A358" s="9" t="str">
        <f t="shared" si="18"/>
        <v>95 MAGAZINE INFO - CD1 YES, CD2 YES, CD3 NO, CD4 NO, CD5 NO, CD6 NO</v>
      </c>
      <c r="B358" t="s">
        <v>37</v>
      </c>
      <c r="C358" s="7" t="str">
        <f t="shared" si="19"/>
        <v>31</v>
      </c>
      <c r="D358" s="8" t="s">
        <v>109</v>
      </c>
      <c r="E358" s="7" t="str">
        <f t="shared" si="20"/>
        <v>10</v>
      </c>
      <c r="F358" s="5"/>
      <c r="G358" s="5"/>
    </row>
    <row r="359" spans="1:7" x14ac:dyDescent="0.25">
      <c r="A359" s="9" t="str">
        <f t="shared" si="18"/>
        <v>01 MASTER REQUEST - SLAVE POLL</v>
      </c>
      <c r="B359" t="s">
        <v>36</v>
      </c>
      <c r="C359" s="7" t="str">
        <f t="shared" si="19"/>
        <v>10</v>
      </c>
      <c r="D359" s="8" t="s">
        <v>109</v>
      </c>
      <c r="E359" s="7" t="str">
        <f t="shared" si="20"/>
        <v>31</v>
      </c>
      <c r="F359" s="5"/>
      <c r="G359" s="5"/>
    </row>
    <row r="360" spans="1:7" x14ac:dyDescent="0.25">
      <c r="A360" s="9" t="str">
        <f t="shared" si="18"/>
        <v>97 DISC INFO - TRACKS: 69, MINS: 88, SECS: 00, DISC: 2</v>
      </c>
      <c r="B360" t="s">
        <v>38</v>
      </c>
      <c r="C360" s="7" t="str">
        <f t="shared" si="19"/>
        <v>31</v>
      </c>
      <c r="D360" s="8" t="s">
        <v>109</v>
      </c>
      <c r="E360" s="7" t="str">
        <f t="shared" si="20"/>
        <v>10</v>
      </c>
      <c r="F360" s="5"/>
      <c r="G360" s="5"/>
    </row>
    <row r="361" spans="1:7" x14ac:dyDescent="0.25">
      <c r="A361" s="9" t="str">
        <f t="shared" si="18"/>
        <v>01 MASTER REQUEST - SLAVE POLL</v>
      </c>
      <c r="B361" t="s">
        <v>36</v>
      </c>
      <c r="C361" s="7" t="str">
        <f t="shared" si="19"/>
        <v>10</v>
      </c>
      <c r="D361" s="8" t="s">
        <v>109</v>
      </c>
      <c r="E361" s="7" t="str">
        <f t="shared" si="20"/>
        <v>31</v>
      </c>
      <c r="F361" s="5"/>
      <c r="G361" s="5"/>
    </row>
    <row r="362" spans="1:7" x14ac:dyDescent="0.25">
      <c r="A362" s="9" t="str">
        <f t="shared" si="18"/>
        <v>90 TIME- TRACK: 02, 00:00, DISC: 2</v>
      </c>
      <c r="B362" t="s">
        <v>45</v>
      </c>
      <c r="C362" s="7" t="str">
        <f t="shared" si="19"/>
        <v>31</v>
      </c>
      <c r="D362" s="8" t="s">
        <v>109</v>
      </c>
      <c r="E362" s="7" t="str">
        <f t="shared" si="20"/>
        <v>70</v>
      </c>
      <c r="F362" s="5"/>
      <c r="G362" s="5"/>
    </row>
    <row r="363" spans="1:7" x14ac:dyDescent="0.25">
      <c r="A363" s="9" t="str">
        <f t="shared" si="18"/>
        <v>84 REQUEST MORE TEXT FIELDS - SEND MAGAZINE INFO</v>
      </c>
      <c r="B363" t="s">
        <v>14</v>
      </c>
      <c r="C363" s="7" t="str">
        <f t="shared" si="19"/>
        <v>10</v>
      </c>
      <c r="D363" s="8" t="s">
        <v>109</v>
      </c>
      <c r="E363" s="7" t="str">
        <f t="shared" si="20"/>
        <v>31</v>
      </c>
      <c r="F363" s="5"/>
      <c r="G363" s="5"/>
    </row>
    <row r="364" spans="1:7" x14ac:dyDescent="0.25">
      <c r="A364" s="9" t="str">
        <f t="shared" si="18"/>
        <v>01 MASTER REQUEST - TIME POLL</v>
      </c>
      <c r="B364" t="s">
        <v>34</v>
      </c>
      <c r="C364" s="7" t="str">
        <f t="shared" si="19"/>
        <v>10</v>
      </c>
      <c r="D364" s="8" t="s">
        <v>109</v>
      </c>
      <c r="E364" s="7" t="str">
        <f t="shared" si="20"/>
        <v>31</v>
      </c>
      <c r="F364" s="5"/>
      <c r="G364" s="5"/>
    </row>
    <row r="365" spans="1:7" x14ac:dyDescent="0.25">
      <c r="A365" s="9" t="str">
        <f t="shared" si="18"/>
        <v>00 STATUS - PLAYING</v>
      </c>
      <c r="B365" t="s">
        <v>35</v>
      </c>
      <c r="C365" s="7" t="str">
        <f t="shared" si="19"/>
        <v>31</v>
      </c>
      <c r="D365" s="8" t="s">
        <v>109</v>
      </c>
      <c r="E365" s="7" t="str">
        <f t="shared" si="20"/>
        <v>10</v>
      </c>
      <c r="F365" s="5"/>
      <c r="G365" s="5"/>
    </row>
    <row r="366" spans="1:7" x14ac:dyDescent="0.25">
      <c r="A366" s="9" t="str">
        <f t="shared" si="18"/>
        <v>84 REQUEST MORE TEXT FIELDS - SEND DISC INFO</v>
      </c>
      <c r="B366" t="s">
        <v>17</v>
      </c>
      <c r="C366" s="7" t="str">
        <f t="shared" si="19"/>
        <v>10</v>
      </c>
      <c r="D366" s="8" t="s">
        <v>109</v>
      </c>
      <c r="E366" s="7" t="str">
        <f t="shared" si="20"/>
        <v>31</v>
      </c>
      <c r="F366" s="5"/>
      <c r="G366" s="5"/>
    </row>
    <row r="367" spans="1:7" x14ac:dyDescent="0.25">
      <c r="A367" s="9" t="str">
        <f t="shared" si="18"/>
        <v>01 MASTER REQUEST - SLAVE POLL</v>
      </c>
      <c r="B367" t="s">
        <v>36</v>
      </c>
      <c r="C367" s="7" t="str">
        <f t="shared" si="19"/>
        <v>10</v>
      </c>
      <c r="D367" s="8" t="s">
        <v>109</v>
      </c>
      <c r="E367" s="7" t="str">
        <f t="shared" si="20"/>
        <v>31</v>
      </c>
      <c r="F367" s="5"/>
      <c r="G367" s="5"/>
    </row>
    <row r="368" spans="1:7" x14ac:dyDescent="0.25">
      <c r="A368" s="9" t="str">
        <f t="shared" si="18"/>
        <v>C0 SEEKING TO - (NO PARITY2???) XCARLINK BUG, ALFA 166 ICS DOESN'T ALLOW 13 BYTE RESPONSES!</v>
      </c>
      <c r="B368" t="s">
        <v>46</v>
      </c>
      <c r="C368" s="7" t="str">
        <f t="shared" si="19"/>
        <v>31</v>
      </c>
      <c r="D368" s="8" t="s">
        <v>109</v>
      </c>
      <c r="E368" s="7" t="str">
        <f t="shared" si="20"/>
        <v>70</v>
      </c>
      <c r="F368" s="5"/>
      <c r="G368" s="5"/>
    </row>
    <row r="369" spans="1:7" x14ac:dyDescent="0.25">
      <c r="A369" s="9" t="str">
        <f t="shared" si="18"/>
        <v>01 MASTER REQUEST - SLAVE POLL</v>
      </c>
      <c r="B369" t="s">
        <v>36</v>
      </c>
      <c r="C369" s="7" t="str">
        <f t="shared" si="19"/>
        <v>10</v>
      </c>
      <c r="D369" s="8" t="s">
        <v>109</v>
      </c>
      <c r="E369" s="7" t="str">
        <f t="shared" si="20"/>
        <v>31</v>
      </c>
      <c r="F369" s="5"/>
      <c r="G369" s="5"/>
    </row>
    <row r="370" spans="1:7" x14ac:dyDescent="0.25">
      <c r="A370" s="9" t="str">
        <f t="shared" si="18"/>
        <v>97 DISC INFO - TRACKS: 69, MINS: 88, SECS: 00, DISC: 2</v>
      </c>
      <c r="B370" t="s">
        <v>38</v>
      </c>
      <c r="C370" s="7" t="str">
        <f t="shared" si="19"/>
        <v>31</v>
      </c>
      <c r="D370" s="8" t="s">
        <v>109</v>
      </c>
      <c r="E370" s="7" t="str">
        <f t="shared" si="20"/>
        <v>10</v>
      </c>
      <c r="F370" s="5"/>
      <c r="G370" s="5"/>
    </row>
    <row r="371" spans="1:7" x14ac:dyDescent="0.25">
      <c r="A371" s="9" t="str">
        <f t="shared" si="18"/>
        <v>01 MASTER REQUEST - SLAVE POLL</v>
      </c>
      <c r="B371" t="s">
        <v>36</v>
      </c>
      <c r="C371" s="7" t="str">
        <f t="shared" si="19"/>
        <v>10</v>
      </c>
      <c r="D371" s="8" t="s">
        <v>109</v>
      </c>
      <c r="E371" s="7" t="str">
        <f t="shared" si="20"/>
        <v>31</v>
      </c>
      <c r="F371" s="5"/>
      <c r="G371" s="5"/>
    </row>
    <row r="372" spans="1:7" x14ac:dyDescent="0.25">
      <c r="A372" s="9" t="str">
        <f t="shared" si="18"/>
        <v>D5 DISC IDENTIFIER</v>
      </c>
      <c r="B372" t="s">
        <v>47</v>
      </c>
      <c r="C372" s="7" t="str">
        <f t="shared" si="19"/>
        <v>31</v>
      </c>
      <c r="D372" s="8" t="s">
        <v>109</v>
      </c>
      <c r="E372" s="7" t="str">
        <f t="shared" si="20"/>
        <v>10</v>
      </c>
      <c r="F372" s="5"/>
      <c r="G372" s="5"/>
    </row>
    <row r="373" spans="1:7" x14ac:dyDescent="0.25">
      <c r="A373" s="9" t="str">
        <f t="shared" si="18"/>
        <v>01 MASTER REQUEST - SLAVE POLL</v>
      </c>
      <c r="B373" t="s">
        <v>36</v>
      </c>
      <c r="C373" s="7" t="str">
        <f t="shared" si="19"/>
        <v>10</v>
      </c>
      <c r="D373" s="8" t="s">
        <v>109</v>
      </c>
      <c r="E373" s="7" t="str">
        <f t="shared" si="20"/>
        <v>31</v>
      </c>
      <c r="F373" s="5"/>
      <c r="G373" s="5"/>
    </row>
    <row r="374" spans="1:7" x14ac:dyDescent="0.25">
      <c r="A374" s="9" t="str">
        <f t="shared" si="18"/>
        <v>90 TIME- TRACK: 02, 00:00, DISC: 2</v>
      </c>
      <c r="B374" t="s">
        <v>45</v>
      </c>
      <c r="C374" s="7" t="str">
        <f t="shared" si="19"/>
        <v>31</v>
      </c>
      <c r="D374" s="8" t="s">
        <v>109</v>
      </c>
      <c r="E374" s="7" t="str">
        <f t="shared" si="20"/>
        <v>70</v>
      </c>
      <c r="F374" s="5"/>
      <c r="G374" s="5"/>
    </row>
    <row r="375" spans="1:7" x14ac:dyDescent="0.25">
      <c r="A375" s="9" t="str">
        <f t="shared" si="18"/>
        <v>01 MASTER REQUEST - SLAVE POLL</v>
      </c>
      <c r="B375" t="s">
        <v>36</v>
      </c>
      <c r="C375" s="7" t="str">
        <f t="shared" si="19"/>
        <v>10</v>
      </c>
      <c r="D375" s="8" t="s">
        <v>109</v>
      </c>
      <c r="E375" s="7" t="str">
        <f t="shared" si="20"/>
        <v>31</v>
      </c>
      <c r="F375" s="5"/>
      <c r="G375" s="5"/>
    </row>
    <row r="376" spans="1:7" x14ac:dyDescent="0.25">
      <c r="A376" s="9" t="str">
        <f t="shared" si="18"/>
        <v>90 TIME- TRACK: 02, 00:01, DISC: 2</v>
      </c>
      <c r="B376" t="s">
        <v>48</v>
      </c>
      <c r="C376" s="7" t="str">
        <f t="shared" si="19"/>
        <v>31</v>
      </c>
      <c r="D376" s="8" t="s">
        <v>109</v>
      </c>
      <c r="E376" s="7" t="str">
        <f t="shared" si="20"/>
        <v>70</v>
      </c>
      <c r="F376" s="5"/>
      <c r="G376" s="5"/>
    </row>
    <row r="377" spans="1:7" x14ac:dyDescent="0.25">
      <c r="A377" s="9" t="str">
        <f t="shared" si="18"/>
        <v>84 REQUEST MORE TEXT FIELDS - SEND MAGAZINE INFO</v>
      </c>
      <c r="B377" t="s">
        <v>14</v>
      </c>
      <c r="C377" s="7" t="str">
        <f t="shared" si="19"/>
        <v>10</v>
      </c>
      <c r="D377" s="8" t="s">
        <v>109</v>
      </c>
      <c r="E377" s="7" t="str">
        <f t="shared" si="20"/>
        <v>31</v>
      </c>
      <c r="F377" s="5"/>
      <c r="G377" s="5"/>
    </row>
    <row r="378" spans="1:7" x14ac:dyDescent="0.25">
      <c r="A378" s="9" t="str">
        <f t="shared" si="18"/>
        <v>01 MASTER REQUEST - TIME POLL</v>
      </c>
      <c r="B378" t="s">
        <v>34</v>
      </c>
      <c r="C378" s="7" t="str">
        <f t="shared" si="19"/>
        <v>10</v>
      </c>
      <c r="D378" s="8" t="s">
        <v>109</v>
      </c>
      <c r="E378" s="7" t="str">
        <f t="shared" si="20"/>
        <v>31</v>
      </c>
      <c r="F378" s="5"/>
      <c r="G378" s="5"/>
    </row>
    <row r="379" spans="1:7" x14ac:dyDescent="0.25">
      <c r="A379" s="9" t="str">
        <f t="shared" si="18"/>
        <v>00 STATUS - PLAYING</v>
      </c>
      <c r="B379" t="s">
        <v>35</v>
      </c>
      <c r="C379" s="7" t="str">
        <f t="shared" si="19"/>
        <v>31</v>
      </c>
      <c r="D379" s="8" t="s">
        <v>109</v>
      </c>
      <c r="E379" s="7" t="str">
        <f t="shared" si="20"/>
        <v>10</v>
      </c>
      <c r="F379" s="5"/>
      <c r="G379" s="5"/>
    </row>
    <row r="380" spans="1:7" x14ac:dyDescent="0.25">
      <c r="A380" s="9" t="str">
        <f t="shared" si="18"/>
        <v>84 REQUEST MORE TEXT FIELDS - SEND DISC INFO</v>
      </c>
      <c r="B380" t="s">
        <v>17</v>
      </c>
      <c r="C380" s="7" t="str">
        <f t="shared" si="19"/>
        <v>10</v>
      </c>
      <c r="D380" s="8" t="s">
        <v>109</v>
      </c>
      <c r="E380" s="7" t="str">
        <f t="shared" si="20"/>
        <v>31</v>
      </c>
      <c r="F380" s="5"/>
      <c r="G380" s="5"/>
    </row>
    <row r="381" spans="1:7" x14ac:dyDescent="0.25">
      <c r="A381" s="9" t="str">
        <f t="shared" si="18"/>
        <v>01 MASTER REQUEST - SLAVE POLL</v>
      </c>
      <c r="B381" t="s">
        <v>36</v>
      </c>
      <c r="C381" s="7" t="str">
        <f t="shared" si="19"/>
        <v>10</v>
      </c>
      <c r="D381" s="8" t="s">
        <v>109</v>
      </c>
      <c r="E381" s="7" t="str">
        <f t="shared" si="20"/>
        <v>31</v>
      </c>
      <c r="F381" s="5"/>
      <c r="G381" s="5"/>
    </row>
    <row r="382" spans="1:7" x14ac:dyDescent="0.25">
      <c r="A382" s="9" t="str">
        <f t="shared" si="18"/>
        <v>95 MAGAZINE INFO - CD1 YES, CD2 YES, CD3 NO, CD4 NO, CD5 NO, CD6 NO</v>
      </c>
      <c r="B382" t="s">
        <v>37</v>
      </c>
      <c r="C382" s="7" t="str">
        <f t="shared" si="19"/>
        <v>31</v>
      </c>
      <c r="D382" s="8" t="s">
        <v>109</v>
      </c>
      <c r="E382" s="7" t="str">
        <f t="shared" si="20"/>
        <v>10</v>
      </c>
      <c r="F382" s="5"/>
      <c r="G382" s="5"/>
    </row>
    <row r="383" spans="1:7" x14ac:dyDescent="0.25">
      <c r="A383" s="9" t="str">
        <f t="shared" si="18"/>
        <v>01 MASTER REQUEST - SLAVE POLL</v>
      </c>
      <c r="B383" t="s">
        <v>36</v>
      </c>
      <c r="C383" s="7" t="str">
        <f t="shared" si="19"/>
        <v>10</v>
      </c>
      <c r="D383" s="8" t="s">
        <v>109</v>
      </c>
      <c r="E383" s="7" t="str">
        <f t="shared" si="20"/>
        <v>31</v>
      </c>
      <c r="F383" s="5"/>
      <c r="G383" s="5"/>
    </row>
    <row r="384" spans="1:7" x14ac:dyDescent="0.25">
      <c r="A384" s="9" t="str">
        <f t="shared" si="18"/>
        <v>97 DISC INFO - TRACKS: 69, MINS: 88, SECS: 00, DISC: 2</v>
      </c>
      <c r="B384" t="s">
        <v>38</v>
      </c>
      <c r="C384" s="7" t="str">
        <f t="shared" si="19"/>
        <v>31</v>
      </c>
      <c r="D384" s="8" t="s">
        <v>109</v>
      </c>
      <c r="E384" s="7" t="str">
        <f t="shared" si="20"/>
        <v>10</v>
      </c>
      <c r="F384" s="5"/>
      <c r="G384" s="5"/>
    </row>
    <row r="385" spans="1:7" x14ac:dyDescent="0.25">
      <c r="A385" s="9" t="str">
        <f t="shared" si="18"/>
        <v>01 MASTER REQUEST - SLAVE POLL</v>
      </c>
      <c r="B385" t="s">
        <v>36</v>
      </c>
      <c r="C385" s="7" t="str">
        <f t="shared" si="19"/>
        <v>10</v>
      </c>
      <c r="D385" s="8" t="s">
        <v>109</v>
      </c>
      <c r="E385" s="7" t="str">
        <f t="shared" si="20"/>
        <v>31</v>
      </c>
      <c r="F385" s="5"/>
      <c r="G385" s="5"/>
    </row>
    <row r="386" spans="1:7" x14ac:dyDescent="0.25">
      <c r="A386" s="9" t="str">
        <f t="shared" si="18"/>
        <v>90 TIME- TRACK: 02, 00:02, DISC: 2</v>
      </c>
      <c r="B386" t="s">
        <v>49</v>
      </c>
      <c r="C386" s="7" t="str">
        <f t="shared" si="19"/>
        <v>31</v>
      </c>
      <c r="D386" s="8" t="s">
        <v>109</v>
      </c>
      <c r="E386" s="7" t="str">
        <f t="shared" si="20"/>
        <v>70</v>
      </c>
      <c r="F386" s="5"/>
      <c r="G386" s="5"/>
    </row>
    <row r="387" spans="1:7" x14ac:dyDescent="0.25">
      <c r="A387" s="9" t="str">
        <f t="shared" ref="A387:A450" si="21">ParseUnilink(B387)</f>
        <v>01 MASTER REQUEST - SLAVE POLL</v>
      </c>
      <c r="B387" t="s">
        <v>36</v>
      </c>
      <c r="C387" s="7" t="str">
        <f t="shared" ref="C387:C450" si="22">MID(B387,4,2)</f>
        <v>10</v>
      </c>
      <c r="D387" s="8" t="s">
        <v>109</v>
      </c>
      <c r="E387" s="7" t="str">
        <f t="shared" ref="E387:E450" si="23">MID(B387,1,2)</f>
        <v>31</v>
      </c>
      <c r="F387" s="5"/>
      <c r="G387" s="5"/>
    </row>
    <row r="388" spans="1:7" x14ac:dyDescent="0.25">
      <c r="A388" s="9" t="str">
        <f t="shared" si="21"/>
        <v>00 STATUS - PLAYING</v>
      </c>
      <c r="B388" t="s">
        <v>35</v>
      </c>
      <c r="C388" s="7" t="str">
        <f t="shared" si="22"/>
        <v>31</v>
      </c>
      <c r="D388" s="8" t="s">
        <v>109</v>
      </c>
      <c r="E388" s="7" t="str">
        <f t="shared" si="23"/>
        <v>10</v>
      </c>
      <c r="F388" s="5"/>
      <c r="G388" s="5"/>
    </row>
    <row r="389" spans="1:7" x14ac:dyDescent="0.25">
      <c r="A389" s="9" t="str">
        <f t="shared" si="21"/>
        <v>24 FAST FORWARD (FROM MASTER)</v>
      </c>
      <c r="B389" t="s">
        <v>71</v>
      </c>
      <c r="C389" s="7" t="str">
        <f t="shared" si="22"/>
        <v>11</v>
      </c>
      <c r="D389" s="8" t="s">
        <v>109</v>
      </c>
      <c r="E389" s="7" t="str">
        <f t="shared" si="23"/>
        <v>31</v>
      </c>
      <c r="F389" s="5"/>
      <c r="G389" s="5"/>
    </row>
    <row r="390" spans="1:7" x14ac:dyDescent="0.25">
      <c r="A390" s="9" t="str">
        <f t="shared" si="21"/>
        <v>84 REQUEST MORE TEXT FIELDS - SEND MAGAZINE INFO</v>
      </c>
      <c r="B390" t="s">
        <v>14</v>
      </c>
      <c r="C390" s="7" t="str">
        <f t="shared" si="22"/>
        <v>10</v>
      </c>
      <c r="D390" s="8" t="s">
        <v>109</v>
      </c>
      <c r="E390" s="7" t="str">
        <f t="shared" si="23"/>
        <v>31</v>
      </c>
      <c r="F390" s="5"/>
      <c r="G390" s="5"/>
    </row>
    <row r="391" spans="1:7" x14ac:dyDescent="0.25">
      <c r="A391" s="9" t="str">
        <f t="shared" si="21"/>
        <v>01 MASTER REQUEST - TIME POLL</v>
      </c>
      <c r="B391" t="s">
        <v>34</v>
      </c>
      <c r="C391" s="7" t="str">
        <f t="shared" si="22"/>
        <v>10</v>
      </c>
      <c r="D391" s="8" t="s">
        <v>109</v>
      </c>
      <c r="E391" s="7" t="str">
        <f t="shared" si="23"/>
        <v>31</v>
      </c>
      <c r="F391" s="5"/>
      <c r="G391" s="5"/>
    </row>
    <row r="392" spans="1:7" x14ac:dyDescent="0.25">
      <c r="A392" s="9" t="str">
        <f t="shared" si="21"/>
        <v>00 STATUS - PLAYING</v>
      </c>
      <c r="B392" t="s">
        <v>35</v>
      </c>
      <c r="C392" s="7" t="str">
        <f t="shared" si="22"/>
        <v>31</v>
      </c>
      <c r="D392" s="8" t="s">
        <v>109</v>
      </c>
      <c r="E392" s="7" t="str">
        <f t="shared" si="23"/>
        <v>10</v>
      </c>
      <c r="F392" s="5"/>
      <c r="G392" s="5"/>
    </row>
    <row r="393" spans="1:7" x14ac:dyDescent="0.25">
      <c r="A393" s="9" t="str">
        <f t="shared" si="21"/>
        <v>84 REQUEST MORE TEXT FIELDS - SEND DISC INFO</v>
      </c>
      <c r="B393" t="s">
        <v>17</v>
      </c>
      <c r="C393" s="7" t="str">
        <f t="shared" si="22"/>
        <v>10</v>
      </c>
      <c r="D393" s="8" t="s">
        <v>109</v>
      </c>
      <c r="E393" s="7" t="str">
        <f t="shared" si="23"/>
        <v>31</v>
      </c>
      <c r="F393" s="5"/>
      <c r="G393" s="5"/>
    </row>
    <row r="394" spans="1:7" x14ac:dyDescent="0.25">
      <c r="A394" s="9" t="str">
        <f t="shared" si="21"/>
        <v>01 MASTER REQUEST - SLAVE POLL</v>
      </c>
      <c r="B394" t="s">
        <v>36</v>
      </c>
      <c r="C394" s="7" t="str">
        <f t="shared" si="22"/>
        <v>10</v>
      </c>
      <c r="D394" s="8" t="s">
        <v>109</v>
      </c>
      <c r="E394" s="7" t="str">
        <f t="shared" si="23"/>
        <v>31</v>
      </c>
      <c r="F394" s="5"/>
      <c r="G394" s="5"/>
    </row>
    <row r="395" spans="1:7" x14ac:dyDescent="0.25">
      <c r="A395" s="9" t="str">
        <f t="shared" si="21"/>
        <v>C0 SEEKING TO - (NO PARITY2???) XCARLINK BUG, ALFA 166 ICS DOESN'T ALLOW 13 BYTE RESPONSES!</v>
      </c>
      <c r="B395" t="s">
        <v>84</v>
      </c>
      <c r="C395" s="7" t="str">
        <f t="shared" si="22"/>
        <v>31</v>
      </c>
      <c r="D395" s="8" t="s">
        <v>109</v>
      </c>
      <c r="E395" s="7" t="str">
        <f t="shared" si="23"/>
        <v>77</v>
      </c>
      <c r="F395" s="5"/>
      <c r="G395" s="5"/>
    </row>
    <row r="396" spans="1:7" x14ac:dyDescent="0.25">
      <c r="A396" s="9" t="str">
        <f t="shared" si="21"/>
        <v>01 MASTER REQUEST - SLAVE POLL</v>
      </c>
      <c r="B396" t="s">
        <v>36</v>
      </c>
      <c r="C396" s="7" t="str">
        <f t="shared" si="22"/>
        <v>10</v>
      </c>
      <c r="D396" s="8" t="s">
        <v>109</v>
      </c>
      <c r="E396" s="7" t="str">
        <f t="shared" si="23"/>
        <v>31</v>
      </c>
      <c r="F396" s="5"/>
      <c r="G396" s="5"/>
    </row>
    <row r="397" spans="1:7" x14ac:dyDescent="0.25">
      <c r="A397" s="9" t="str">
        <f t="shared" si="21"/>
        <v>95 MAGAZINE INFO - CD1 YES, CD2 YES, CD3 NO, CD4 NO, CD5 NO, CD6 NO</v>
      </c>
      <c r="B397" t="s">
        <v>37</v>
      </c>
      <c r="C397" s="7" t="str">
        <f t="shared" si="22"/>
        <v>31</v>
      </c>
      <c r="D397" s="8" t="s">
        <v>109</v>
      </c>
      <c r="E397" s="7" t="str">
        <f t="shared" si="23"/>
        <v>10</v>
      </c>
      <c r="F397" s="5"/>
      <c r="G397" s="5"/>
    </row>
    <row r="398" spans="1:7" x14ac:dyDescent="0.25">
      <c r="A398" s="9" t="str">
        <f t="shared" si="21"/>
        <v>01 MASTER REQUEST - SLAVE POLL</v>
      </c>
      <c r="B398" t="s">
        <v>36</v>
      </c>
      <c r="C398" s="7" t="str">
        <f t="shared" si="22"/>
        <v>10</v>
      </c>
      <c r="D398" s="8" t="s">
        <v>109</v>
      </c>
      <c r="E398" s="7" t="str">
        <f t="shared" si="23"/>
        <v>31</v>
      </c>
      <c r="F398" s="5"/>
      <c r="G398" s="5"/>
    </row>
    <row r="399" spans="1:7" x14ac:dyDescent="0.25">
      <c r="A399" s="9" t="str">
        <f t="shared" si="21"/>
        <v>97 DISC INFO - TRACKS: 69, MINS: 88, SECS: 00, DISC: 2</v>
      </c>
      <c r="B399" t="s">
        <v>38</v>
      </c>
      <c r="C399" s="7" t="str">
        <f t="shared" si="22"/>
        <v>31</v>
      </c>
      <c r="D399" s="8" t="s">
        <v>109</v>
      </c>
      <c r="E399" s="7" t="str">
        <f t="shared" si="23"/>
        <v>10</v>
      </c>
      <c r="F399" s="5"/>
      <c r="G399" s="5"/>
    </row>
    <row r="400" spans="1:7" x14ac:dyDescent="0.25">
      <c r="A400" s="9" t="str">
        <f t="shared" si="21"/>
        <v>01 MASTER REQUEST - SLAVE POLL</v>
      </c>
      <c r="B400" t="s">
        <v>36</v>
      </c>
      <c r="C400" s="7" t="str">
        <f t="shared" si="22"/>
        <v>10</v>
      </c>
      <c r="D400" s="8" t="s">
        <v>109</v>
      </c>
      <c r="E400" s="7" t="str">
        <f t="shared" si="23"/>
        <v>31</v>
      </c>
      <c r="F400" s="5"/>
      <c r="G400" s="5"/>
    </row>
    <row r="401" spans="1:7" x14ac:dyDescent="0.25">
      <c r="A401" s="9" t="str">
        <f t="shared" si="21"/>
        <v>00 STATUS - ???</v>
      </c>
      <c r="B401" t="s">
        <v>73</v>
      </c>
      <c r="C401" s="7" t="str">
        <f t="shared" si="22"/>
        <v>31</v>
      </c>
      <c r="D401" s="8" t="s">
        <v>109</v>
      </c>
      <c r="E401" s="7" t="str">
        <f t="shared" si="23"/>
        <v>10</v>
      </c>
      <c r="F401" s="5"/>
      <c r="G401" s="5"/>
    </row>
    <row r="402" spans="1:7" x14ac:dyDescent="0.25">
      <c r="A402" s="9" t="str">
        <f t="shared" si="21"/>
        <v>01 MASTER REQUEST - SLAVE POLL</v>
      </c>
      <c r="B402" t="s">
        <v>36</v>
      </c>
      <c r="C402" s="7" t="str">
        <f t="shared" si="22"/>
        <v>10</v>
      </c>
      <c r="D402" s="8" t="s">
        <v>109</v>
      </c>
      <c r="E402" s="7" t="str">
        <f t="shared" si="23"/>
        <v>31</v>
      </c>
      <c r="F402" s="5"/>
      <c r="G402" s="5"/>
    </row>
    <row r="403" spans="1:7" x14ac:dyDescent="0.25">
      <c r="A403" s="9" t="str">
        <f t="shared" si="21"/>
        <v>90 TIME- TRACK: 02, 00:07, DISC: 2</v>
      </c>
      <c r="B403" t="s">
        <v>85</v>
      </c>
      <c r="C403" s="7" t="str">
        <f t="shared" si="22"/>
        <v>31</v>
      </c>
      <c r="D403" s="8" t="s">
        <v>109</v>
      </c>
      <c r="E403" s="7" t="str">
        <f t="shared" si="23"/>
        <v>70</v>
      </c>
      <c r="F403" s="5"/>
      <c r="G403" s="5"/>
    </row>
    <row r="404" spans="1:7" x14ac:dyDescent="0.25">
      <c r="A404" s="9" t="str">
        <f t="shared" si="21"/>
        <v>01 MASTER REQUEST - SLAVE POLL</v>
      </c>
      <c r="B404" t="s">
        <v>36</v>
      </c>
      <c r="C404" s="7" t="str">
        <f t="shared" si="22"/>
        <v>10</v>
      </c>
      <c r="D404" s="8" t="s">
        <v>109</v>
      </c>
      <c r="E404" s="7" t="str">
        <f t="shared" si="23"/>
        <v>31</v>
      </c>
      <c r="F404" s="5"/>
      <c r="G404" s="5"/>
    </row>
    <row r="405" spans="1:7" x14ac:dyDescent="0.25">
      <c r="A405" s="9" t="str">
        <f t="shared" si="21"/>
        <v>90 TIME- TRACK: 02, 00:16, DISC: 2</v>
      </c>
      <c r="B405" t="s">
        <v>86</v>
      </c>
      <c r="C405" s="7" t="str">
        <f t="shared" si="22"/>
        <v>31</v>
      </c>
      <c r="D405" s="8" t="s">
        <v>109</v>
      </c>
      <c r="E405" s="7" t="str">
        <f t="shared" si="23"/>
        <v>70</v>
      </c>
      <c r="F405" s="5"/>
      <c r="G405" s="5"/>
    </row>
    <row r="406" spans="1:7" x14ac:dyDescent="0.25">
      <c r="A406" s="9" t="str">
        <f t="shared" si="21"/>
        <v>01 MASTER REQUEST - SLAVE POLL</v>
      </c>
      <c r="B406" t="s">
        <v>36</v>
      </c>
      <c r="C406" s="7" t="str">
        <f t="shared" si="22"/>
        <v>10</v>
      </c>
      <c r="D406" s="8" t="s">
        <v>109</v>
      </c>
      <c r="E406" s="7" t="str">
        <f t="shared" si="23"/>
        <v>31</v>
      </c>
      <c r="F406" s="5"/>
      <c r="G406" s="5"/>
    </row>
    <row r="407" spans="1:7" x14ac:dyDescent="0.25">
      <c r="A407" s="9" t="str">
        <f t="shared" si="21"/>
        <v>00 STATUS - ???</v>
      </c>
      <c r="B407" t="s">
        <v>73</v>
      </c>
      <c r="C407" s="7" t="str">
        <f t="shared" si="22"/>
        <v>31</v>
      </c>
      <c r="D407" s="8" t="s">
        <v>109</v>
      </c>
      <c r="E407" s="7" t="str">
        <f t="shared" si="23"/>
        <v>10</v>
      </c>
      <c r="F407" s="5"/>
      <c r="G407" s="5"/>
    </row>
    <row r="408" spans="1:7" x14ac:dyDescent="0.25">
      <c r="A408" s="9" t="str">
        <f t="shared" si="21"/>
        <v>84 REQUEST MORE TEXT FIELDS - SEND MAGAZINE INFO</v>
      </c>
      <c r="B408" t="s">
        <v>14</v>
      </c>
      <c r="C408" s="7" t="str">
        <f t="shared" si="22"/>
        <v>10</v>
      </c>
      <c r="D408" s="8" t="s">
        <v>109</v>
      </c>
      <c r="E408" s="7" t="str">
        <f t="shared" si="23"/>
        <v>31</v>
      </c>
      <c r="F408" s="5"/>
      <c r="G408" s="5"/>
    </row>
    <row r="409" spans="1:7" x14ac:dyDescent="0.25">
      <c r="A409" s="9" t="str">
        <f t="shared" si="21"/>
        <v>01 MASTER REQUEST - TIME POLL</v>
      </c>
      <c r="B409" t="s">
        <v>34</v>
      </c>
      <c r="C409" s="7" t="str">
        <f t="shared" si="22"/>
        <v>10</v>
      </c>
      <c r="D409" s="8" t="s">
        <v>109</v>
      </c>
      <c r="E409" s="7" t="str">
        <f t="shared" si="23"/>
        <v>31</v>
      </c>
      <c r="F409" s="5"/>
      <c r="G409" s="5"/>
    </row>
    <row r="410" spans="1:7" x14ac:dyDescent="0.25">
      <c r="A410" s="9" t="str">
        <f t="shared" si="21"/>
        <v>00 STATUS - PLAYING</v>
      </c>
      <c r="B410" t="s">
        <v>35</v>
      </c>
      <c r="C410" s="7" t="str">
        <f t="shared" si="22"/>
        <v>31</v>
      </c>
      <c r="D410" s="8" t="s">
        <v>109</v>
      </c>
      <c r="E410" s="7" t="str">
        <f t="shared" si="23"/>
        <v>10</v>
      </c>
      <c r="F410" s="5"/>
      <c r="G410" s="5"/>
    </row>
    <row r="411" spans="1:7" x14ac:dyDescent="0.25">
      <c r="A411" s="9" t="str">
        <f t="shared" si="21"/>
        <v>84 REQUEST MORE TEXT FIELDS - SEND DISC INFO</v>
      </c>
      <c r="B411" t="s">
        <v>17</v>
      </c>
      <c r="C411" s="7" t="str">
        <f t="shared" si="22"/>
        <v>10</v>
      </c>
      <c r="D411" s="8" t="s">
        <v>109</v>
      </c>
      <c r="E411" s="7" t="str">
        <f t="shared" si="23"/>
        <v>31</v>
      </c>
      <c r="F411" s="5"/>
      <c r="G411" s="5"/>
    </row>
    <row r="412" spans="1:7" x14ac:dyDescent="0.25">
      <c r="A412" s="9" t="str">
        <f t="shared" si="21"/>
        <v>01 MASTER REQUEST - SLAVE POLL</v>
      </c>
      <c r="B412" t="s">
        <v>36</v>
      </c>
      <c r="C412" s="7" t="str">
        <f t="shared" si="22"/>
        <v>10</v>
      </c>
      <c r="D412" s="8" t="s">
        <v>109</v>
      </c>
      <c r="E412" s="7" t="str">
        <f t="shared" si="23"/>
        <v>31</v>
      </c>
      <c r="F412" s="5"/>
      <c r="G412" s="5"/>
    </row>
    <row r="413" spans="1:7" x14ac:dyDescent="0.25">
      <c r="A413" s="9" t="str">
        <f t="shared" si="21"/>
        <v>95 MAGAZINE INFO - CD1 YES, CD2 YES, CD3 NO, CD4 NO, CD5 NO, CD6 NO</v>
      </c>
      <c r="B413" t="s">
        <v>37</v>
      </c>
      <c r="C413" s="7" t="str">
        <f t="shared" si="22"/>
        <v>31</v>
      </c>
      <c r="D413" s="8" t="s">
        <v>109</v>
      </c>
      <c r="E413" s="7" t="str">
        <f t="shared" si="23"/>
        <v>10</v>
      </c>
      <c r="F413" s="5"/>
      <c r="G413" s="5"/>
    </row>
    <row r="414" spans="1:7" x14ac:dyDescent="0.25">
      <c r="A414" s="9" t="str">
        <f t="shared" si="21"/>
        <v>01 MASTER REQUEST - SLAVE POLL</v>
      </c>
      <c r="B414" t="s">
        <v>36</v>
      </c>
      <c r="C414" s="7" t="str">
        <f t="shared" si="22"/>
        <v>10</v>
      </c>
      <c r="D414" s="8" t="s">
        <v>109</v>
      </c>
      <c r="E414" s="7" t="str">
        <f t="shared" si="23"/>
        <v>31</v>
      </c>
      <c r="F414" s="5"/>
      <c r="G414" s="5"/>
    </row>
    <row r="415" spans="1:7" x14ac:dyDescent="0.25">
      <c r="A415" s="9" t="str">
        <f t="shared" si="21"/>
        <v>97 DISC INFO - TRACKS: 69, MINS: 88, SECS: 00, DISC: 2</v>
      </c>
      <c r="B415" t="s">
        <v>38</v>
      </c>
      <c r="C415" s="7" t="str">
        <f t="shared" si="22"/>
        <v>31</v>
      </c>
      <c r="D415" s="8" t="s">
        <v>109</v>
      </c>
      <c r="E415" s="7" t="str">
        <f t="shared" si="23"/>
        <v>10</v>
      </c>
      <c r="F415" s="5"/>
      <c r="G415" s="5"/>
    </row>
    <row r="416" spans="1:7" x14ac:dyDescent="0.25">
      <c r="A416" s="9" t="str">
        <f t="shared" si="21"/>
        <v>01 MASTER REQUEST - SLAVE POLL</v>
      </c>
      <c r="B416" t="s">
        <v>36</v>
      </c>
      <c r="C416" s="7" t="str">
        <f t="shared" si="22"/>
        <v>10</v>
      </c>
      <c r="D416" s="8" t="s">
        <v>109</v>
      </c>
      <c r="E416" s="7" t="str">
        <f t="shared" si="23"/>
        <v>31</v>
      </c>
      <c r="F416" s="5"/>
      <c r="G416" s="5"/>
    </row>
    <row r="417" spans="1:7" x14ac:dyDescent="0.25">
      <c r="A417" s="9" t="str">
        <f t="shared" si="21"/>
        <v>90 TIME- TRACK: 02, 00:26, DISC: 2</v>
      </c>
      <c r="B417" t="s">
        <v>87</v>
      </c>
      <c r="C417" s="7" t="str">
        <f t="shared" si="22"/>
        <v>31</v>
      </c>
      <c r="D417" s="8" t="s">
        <v>109</v>
      </c>
      <c r="E417" s="7" t="str">
        <f t="shared" si="23"/>
        <v>70</v>
      </c>
      <c r="F417" s="5"/>
      <c r="G417" s="5"/>
    </row>
    <row r="418" spans="1:7" x14ac:dyDescent="0.25">
      <c r="A418" s="9" t="str">
        <f t="shared" si="21"/>
        <v>01 MASTER REQUEST - SLAVE POLL</v>
      </c>
      <c r="B418" t="s">
        <v>36</v>
      </c>
      <c r="C418" s="7" t="str">
        <f t="shared" si="22"/>
        <v>10</v>
      </c>
      <c r="D418" s="8" t="s">
        <v>109</v>
      </c>
      <c r="E418" s="7" t="str">
        <f t="shared" si="23"/>
        <v>31</v>
      </c>
      <c r="F418" s="5"/>
      <c r="G418" s="5"/>
    </row>
    <row r="419" spans="1:7" x14ac:dyDescent="0.25">
      <c r="A419" s="9" t="str">
        <f t="shared" si="21"/>
        <v>00 STATUS - ???</v>
      </c>
      <c r="B419" t="s">
        <v>73</v>
      </c>
      <c r="C419" s="7" t="str">
        <f t="shared" si="22"/>
        <v>31</v>
      </c>
      <c r="D419" s="8" t="s">
        <v>109</v>
      </c>
      <c r="E419" s="7" t="str">
        <f t="shared" si="23"/>
        <v>10</v>
      </c>
      <c r="F419" s="5"/>
      <c r="G419" s="5"/>
    </row>
    <row r="420" spans="1:7" x14ac:dyDescent="0.25">
      <c r="A420" s="9" t="str">
        <f t="shared" si="21"/>
        <v>21 SWITCH TO CD?</v>
      </c>
      <c r="B420" t="s">
        <v>80</v>
      </c>
      <c r="C420" s="7" t="str">
        <f t="shared" si="22"/>
        <v>11</v>
      </c>
      <c r="D420" s="8" t="s">
        <v>109</v>
      </c>
      <c r="E420" s="7" t="str">
        <f t="shared" si="23"/>
        <v>31</v>
      </c>
      <c r="F420" s="5"/>
      <c r="G420" s="5"/>
    </row>
    <row r="421" spans="1:7" x14ac:dyDescent="0.25">
      <c r="A421" s="9" t="str">
        <f t="shared" si="21"/>
        <v>01 MASTER REQUEST - SLAVE POLL</v>
      </c>
      <c r="B421" t="s">
        <v>36</v>
      </c>
      <c r="C421" s="7" t="str">
        <f t="shared" si="22"/>
        <v>10</v>
      </c>
      <c r="D421" s="8" t="s">
        <v>109</v>
      </c>
      <c r="E421" s="7" t="str">
        <f t="shared" si="23"/>
        <v>31</v>
      </c>
      <c r="F421" s="5"/>
      <c r="G421" s="5"/>
    </row>
    <row r="422" spans="1:7" x14ac:dyDescent="0.25">
      <c r="A422" s="9" t="str">
        <f t="shared" si="21"/>
        <v>90 TIME- TRACK: 02, 00:35, DISC: 2</v>
      </c>
      <c r="B422" t="s">
        <v>88</v>
      </c>
      <c r="C422" s="7" t="str">
        <f t="shared" si="22"/>
        <v>31</v>
      </c>
      <c r="D422" s="8" t="s">
        <v>109</v>
      </c>
      <c r="E422" s="7" t="str">
        <f t="shared" si="23"/>
        <v>70</v>
      </c>
      <c r="F422" s="5"/>
      <c r="G422" s="5"/>
    </row>
    <row r="423" spans="1:7" x14ac:dyDescent="0.25">
      <c r="A423" s="9" t="str">
        <f t="shared" si="21"/>
        <v>01 MASTER REQUEST - SLAVE POLL</v>
      </c>
      <c r="B423" t="s">
        <v>36</v>
      </c>
      <c r="C423" s="7" t="str">
        <f t="shared" si="22"/>
        <v>10</v>
      </c>
      <c r="D423" s="8" t="s">
        <v>109</v>
      </c>
      <c r="E423" s="7" t="str">
        <f t="shared" si="23"/>
        <v>31</v>
      </c>
      <c r="F423" s="5"/>
      <c r="G423" s="5"/>
    </row>
    <row r="424" spans="1:7" x14ac:dyDescent="0.25">
      <c r="A424" s="9" t="str">
        <f t="shared" si="21"/>
        <v>00 STATUS - PLAYING</v>
      </c>
      <c r="B424" t="s">
        <v>35</v>
      </c>
      <c r="C424" s="7" t="str">
        <f t="shared" si="22"/>
        <v>31</v>
      </c>
      <c r="D424" s="8" t="s">
        <v>109</v>
      </c>
      <c r="E424" s="7" t="str">
        <f t="shared" si="23"/>
        <v>10</v>
      </c>
      <c r="F424" s="5"/>
      <c r="G424" s="5"/>
    </row>
    <row r="425" spans="1:7" x14ac:dyDescent="0.25">
      <c r="A425" s="9" t="str">
        <f t="shared" si="21"/>
        <v>84 REQUEST MORE TEXT FIELDS - SEND MAGAZINE INFO</v>
      </c>
      <c r="B425" t="s">
        <v>14</v>
      </c>
      <c r="C425" s="7" t="str">
        <f t="shared" si="22"/>
        <v>10</v>
      </c>
      <c r="D425" s="8" t="s">
        <v>109</v>
      </c>
      <c r="E425" s="7" t="str">
        <f t="shared" si="23"/>
        <v>31</v>
      </c>
      <c r="F425" s="5"/>
      <c r="G425" s="5"/>
    </row>
    <row r="426" spans="1:7" x14ac:dyDescent="0.25">
      <c r="A426" s="9" t="str">
        <f t="shared" si="21"/>
        <v>01 MASTER REQUEST - TIME POLL</v>
      </c>
      <c r="B426" t="s">
        <v>34</v>
      </c>
      <c r="C426" s="7" t="str">
        <f t="shared" si="22"/>
        <v>10</v>
      </c>
      <c r="D426" s="8" t="s">
        <v>109</v>
      </c>
      <c r="E426" s="7" t="str">
        <f t="shared" si="23"/>
        <v>31</v>
      </c>
      <c r="F426" s="5"/>
      <c r="G426" s="5"/>
    </row>
    <row r="427" spans="1:7" x14ac:dyDescent="0.25">
      <c r="A427" s="9" t="str">
        <f t="shared" si="21"/>
        <v>00 STATUS - PLAYING</v>
      </c>
      <c r="B427" t="s">
        <v>35</v>
      </c>
      <c r="C427" s="7" t="str">
        <f t="shared" si="22"/>
        <v>31</v>
      </c>
      <c r="D427" s="8" t="s">
        <v>109</v>
      </c>
      <c r="E427" s="7" t="str">
        <f t="shared" si="23"/>
        <v>10</v>
      </c>
      <c r="F427" s="5"/>
      <c r="G427" s="5"/>
    </row>
    <row r="428" spans="1:7" x14ac:dyDescent="0.25">
      <c r="A428" s="9" t="str">
        <f t="shared" si="21"/>
        <v>84 REQUEST MORE TEXT FIELDS - SEND DISC INFO</v>
      </c>
      <c r="B428" t="s">
        <v>17</v>
      </c>
      <c r="C428" s="7" t="str">
        <f t="shared" si="22"/>
        <v>10</v>
      </c>
      <c r="D428" s="8" t="s">
        <v>109</v>
      </c>
      <c r="E428" s="7" t="str">
        <f t="shared" si="23"/>
        <v>31</v>
      </c>
      <c r="F428" s="5"/>
      <c r="G428" s="5"/>
    </row>
    <row r="429" spans="1:7" x14ac:dyDescent="0.25">
      <c r="A429" s="9" t="str">
        <f t="shared" si="21"/>
        <v>01 MASTER REQUEST - SLAVE POLL</v>
      </c>
      <c r="B429" t="s">
        <v>36</v>
      </c>
      <c r="C429" s="7" t="str">
        <f t="shared" si="22"/>
        <v>10</v>
      </c>
      <c r="D429" s="8" t="s">
        <v>109</v>
      </c>
      <c r="E429" s="7" t="str">
        <f t="shared" si="23"/>
        <v>31</v>
      </c>
      <c r="F429" s="5"/>
      <c r="G429" s="5"/>
    </row>
    <row r="430" spans="1:7" x14ac:dyDescent="0.25">
      <c r="A430" s="9" t="str">
        <f t="shared" si="21"/>
        <v>95 MAGAZINE INFO - CD1 YES, CD2 YES, CD3 NO, CD4 NO, CD5 NO, CD6 NO</v>
      </c>
      <c r="B430" t="s">
        <v>37</v>
      </c>
      <c r="C430" s="7" t="str">
        <f t="shared" si="22"/>
        <v>31</v>
      </c>
      <c r="D430" s="8" t="s">
        <v>109</v>
      </c>
      <c r="E430" s="7" t="str">
        <f t="shared" si="23"/>
        <v>10</v>
      </c>
      <c r="F430" s="5"/>
      <c r="G430" s="5"/>
    </row>
    <row r="431" spans="1:7" x14ac:dyDescent="0.25">
      <c r="A431" s="9" t="str">
        <f t="shared" si="21"/>
        <v>01 MASTER REQUEST - SLAVE POLL</v>
      </c>
      <c r="B431" t="s">
        <v>36</v>
      </c>
      <c r="C431" s="7" t="str">
        <f t="shared" si="22"/>
        <v>10</v>
      </c>
      <c r="D431" s="8" t="s">
        <v>109</v>
      </c>
      <c r="E431" s="7" t="str">
        <f t="shared" si="23"/>
        <v>31</v>
      </c>
      <c r="F431" s="5"/>
      <c r="G431" s="5"/>
    </row>
    <row r="432" spans="1:7" x14ac:dyDescent="0.25">
      <c r="A432" s="9" t="str">
        <f t="shared" si="21"/>
        <v>97 DISC INFO - TRACKS: 69, MINS: 88, SECS: 00, DISC: 2</v>
      </c>
      <c r="B432" t="s">
        <v>38</v>
      </c>
      <c r="C432" s="7" t="str">
        <f t="shared" si="22"/>
        <v>31</v>
      </c>
      <c r="D432" s="8" t="s">
        <v>109</v>
      </c>
      <c r="E432" s="7" t="str">
        <f t="shared" si="23"/>
        <v>10</v>
      </c>
      <c r="F432" s="5"/>
      <c r="G432" s="5"/>
    </row>
    <row r="433" spans="1:7" x14ac:dyDescent="0.25">
      <c r="A433" s="9" t="str">
        <f t="shared" si="21"/>
        <v>01 MASTER REQUEST - SLAVE POLL</v>
      </c>
      <c r="B433" t="s">
        <v>36</v>
      </c>
      <c r="C433" s="7" t="str">
        <f t="shared" si="22"/>
        <v>10</v>
      </c>
      <c r="D433" s="8" t="s">
        <v>109</v>
      </c>
      <c r="E433" s="7" t="str">
        <f t="shared" si="23"/>
        <v>31</v>
      </c>
      <c r="F433" s="5"/>
      <c r="G433" s="5"/>
    </row>
    <row r="434" spans="1:7" x14ac:dyDescent="0.25">
      <c r="A434" s="9" t="str">
        <f t="shared" si="21"/>
        <v>00 STATUS - PLAYING</v>
      </c>
      <c r="B434" t="s">
        <v>35</v>
      </c>
      <c r="C434" s="7" t="str">
        <f t="shared" si="22"/>
        <v>31</v>
      </c>
      <c r="D434" s="8" t="s">
        <v>109</v>
      </c>
      <c r="E434" s="7" t="str">
        <f t="shared" si="23"/>
        <v>10</v>
      </c>
      <c r="F434" s="5"/>
      <c r="G434" s="5"/>
    </row>
    <row r="435" spans="1:7" x14ac:dyDescent="0.25">
      <c r="A435" s="9" t="str">
        <f t="shared" si="21"/>
        <v>01 MASTER REQUEST - SLAVE POLL</v>
      </c>
      <c r="B435" t="s">
        <v>36</v>
      </c>
      <c r="C435" s="7" t="str">
        <f t="shared" si="22"/>
        <v>10</v>
      </c>
      <c r="D435" s="8" t="s">
        <v>109</v>
      </c>
      <c r="E435" s="7" t="str">
        <f t="shared" si="23"/>
        <v>31</v>
      </c>
      <c r="F435" s="5"/>
      <c r="G435" s="5"/>
    </row>
    <row r="436" spans="1:7" x14ac:dyDescent="0.25">
      <c r="A436" s="9" t="str">
        <f t="shared" si="21"/>
        <v>90 TIME- TRACK: 02, 00:36, DISC: 2</v>
      </c>
      <c r="B436" t="s">
        <v>89</v>
      </c>
      <c r="C436" s="7" t="str">
        <f t="shared" si="22"/>
        <v>31</v>
      </c>
      <c r="D436" s="8" t="s">
        <v>109</v>
      </c>
      <c r="E436" s="7" t="str">
        <f t="shared" si="23"/>
        <v>70</v>
      </c>
      <c r="F436" s="5"/>
      <c r="G436" s="5"/>
    </row>
    <row r="437" spans="1:7" x14ac:dyDescent="0.25">
      <c r="A437" s="9" t="str">
        <f t="shared" si="21"/>
        <v>01 MASTER REQUEST - SLAVE POLL</v>
      </c>
      <c r="B437" t="s">
        <v>36</v>
      </c>
      <c r="C437" s="7" t="str">
        <f t="shared" si="22"/>
        <v>10</v>
      </c>
      <c r="D437" s="8" t="s">
        <v>109</v>
      </c>
      <c r="E437" s="7" t="str">
        <f t="shared" si="23"/>
        <v>31</v>
      </c>
      <c r="F437" s="5"/>
      <c r="G437" s="5"/>
    </row>
    <row r="438" spans="1:7" x14ac:dyDescent="0.25">
      <c r="A438" s="9" t="str">
        <f t="shared" si="21"/>
        <v>00 STATUS - PLAYING</v>
      </c>
      <c r="B438" t="s">
        <v>35</v>
      </c>
      <c r="C438" s="7" t="str">
        <f t="shared" si="22"/>
        <v>31</v>
      </c>
      <c r="D438" s="8" t="s">
        <v>109</v>
      </c>
      <c r="E438" s="7" t="str">
        <f t="shared" si="23"/>
        <v>10</v>
      </c>
      <c r="F438" s="5"/>
      <c r="G438" s="5"/>
    </row>
    <row r="439" spans="1:7" x14ac:dyDescent="0.25">
      <c r="A439" s="9" t="str">
        <f t="shared" si="21"/>
        <v>84 REQUEST MORE TEXT FIELDS - SEND MAGAZINE INFO</v>
      </c>
      <c r="B439" t="s">
        <v>14</v>
      </c>
      <c r="C439" s="7" t="str">
        <f t="shared" si="22"/>
        <v>10</v>
      </c>
      <c r="D439" s="8" t="s">
        <v>109</v>
      </c>
      <c r="E439" s="7" t="str">
        <f t="shared" si="23"/>
        <v>31</v>
      </c>
      <c r="F439" s="5"/>
      <c r="G439" s="5"/>
    </row>
    <row r="440" spans="1:7" x14ac:dyDescent="0.25">
      <c r="A440" s="9" t="str">
        <f t="shared" si="21"/>
        <v>01 MASTER REQUEST - TIME POLL</v>
      </c>
      <c r="B440" t="s">
        <v>34</v>
      </c>
      <c r="C440" s="7" t="str">
        <f t="shared" si="22"/>
        <v>10</v>
      </c>
      <c r="D440" s="8" t="s">
        <v>109</v>
      </c>
      <c r="E440" s="7" t="str">
        <f t="shared" si="23"/>
        <v>31</v>
      </c>
      <c r="F440" s="5"/>
      <c r="G440" s="5"/>
    </row>
    <row r="441" spans="1:7" x14ac:dyDescent="0.25">
      <c r="A441" s="9" t="str">
        <f t="shared" si="21"/>
        <v>00 STATUS - PLAYING</v>
      </c>
      <c r="B441" t="s">
        <v>35</v>
      </c>
      <c r="C441" s="7" t="str">
        <f t="shared" si="22"/>
        <v>31</v>
      </c>
      <c r="D441" s="8" t="s">
        <v>109</v>
      </c>
      <c r="E441" s="7" t="str">
        <f t="shared" si="23"/>
        <v>10</v>
      </c>
      <c r="F441" s="5"/>
      <c r="G441" s="5"/>
    </row>
    <row r="442" spans="1:7" x14ac:dyDescent="0.25">
      <c r="A442" s="9" t="str">
        <f t="shared" si="21"/>
        <v>84 REQUEST MORE TEXT FIELDS - SEND DISC INFO</v>
      </c>
      <c r="B442" t="s">
        <v>17</v>
      </c>
      <c r="C442" s="7" t="str">
        <f t="shared" si="22"/>
        <v>10</v>
      </c>
      <c r="D442" s="8" t="s">
        <v>109</v>
      </c>
      <c r="E442" s="7" t="str">
        <f t="shared" si="23"/>
        <v>31</v>
      </c>
      <c r="F442" s="5"/>
      <c r="G442" s="5"/>
    </row>
    <row r="443" spans="1:7" x14ac:dyDescent="0.25">
      <c r="A443" s="9" t="str">
        <f t="shared" si="21"/>
        <v>01 MASTER REQUEST - SLAVE POLL</v>
      </c>
      <c r="B443" t="s">
        <v>36</v>
      </c>
      <c r="C443" s="7" t="str">
        <f t="shared" si="22"/>
        <v>10</v>
      </c>
      <c r="D443" s="8" t="s">
        <v>109</v>
      </c>
      <c r="E443" s="7" t="str">
        <f t="shared" si="23"/>
        <v>31</v>
      </c>
      <c r="F443" s="5"/>
      <c r="G443" s="5"/>
    </row>
    <row r="444" spans="1:7" x14ac:dyDescent="0.25">
      <c r="A444" s="9" t="str">
        <f t="shared" si="21"/>
        <v>95 MAGAZINE INFO - CD1 YES, CD2 YES, CD3 NO, CD4 NO, CD5 NO, CD6 NO</v>
      </c>
      <c r="B444" t="s">
        <v>37</v>
      </c>
      <c r="C444" s="7" t="str">
        <f t="shared" si="22"/>
        <v>31</v>
      </c>
      <c r="D444" s="8" t="s">
        <v>109</v>
      </c>
      <c r="E444" s="7" t="str">
        <f t="shared" si="23"/>
        <v>10</v>
      </c>
      <c r="F444" s="5"/>
      <c r="G444" s="5"/>
    </row>
    <row r="445" spans="1:7" x14ac:dyDescent="0.25">
      <c r="A445" s="9" t="str">
        <f t="shared" si="21"/>
        <v>01 MASTER REQUEST - SLAVE POLL</v>
      </c>
      <c r="B445" t="s">
        <v>36</v>
      </c>
      <c r="C445" s="7" t="str">
        <f t="shared" si="22"/>
        <v>10</v>
      </c>
      <c r="D445" s="8" t="s">
        <v>109</v>
      </c>
      <c r="E445" s="7" t="str">
        <f t="shared" si="23"/>
        <v>31</v>
      </c>
      <c r="F445" s="5"/>
      <c r="G445" s="5"/>
    </row>
    <row r="446" spans="1:7" x14ac:dyDescent="0.25">
      <c r="A446" s="9" t="str">
        <f t="shared" si="21"/>
        <v>97 DISC INFO - TRACKS: 69, MINS: 88, SECS: 00, DISC: 2</v>
      </c>
      <c r="B446" t="s">
        <v>38</v>
      </c>
      <c r="C446" s="7" t="str">
        <f t="shared" si="22"/>
        <v>31</v>
      </c>
      <c r="D446" s="8" t="s">
        <v>109</v>
      </c>
      <c r="E446" s="7" t="str">
        <f t="shared" si="23"/>
        <v>10</v>
      </c>
      <c r="F446" s="5"/>
      <c r="G446" s="5"/>
    </row>
    <row r="447" spans="1:7" x14ac:dyDescent="0.25">
      <c r="A447" s="9" t="str">
        <f t="shared" si="21"/>
        <v>01 MASTER REQUEST - SLAVE POLL</v>
      </c>
      <c r="B447" t="s">
        <v>36</v>
      </c>
      <c r="C447" s="7" t="str">
        <f t="shared" si="22"/>
        <v>10</v>
      </c>
      <c r="D447" s="8" t="s">
        <v>109</v>
      </c>
      <c r="E447" s="7" t="str">
        <f t="shared" si="23"/>
        <v>31</v>
      </c>
      <c r="F447" s="5"/>
      <c r="G447" s="5"/>
    </row>
    <row r="448" spans="1:7" x14ac:dyDescent="0.25">
      <c r="A448" s="9" t="str">
        <f t="shared" si="21"/>
        <v>90 TIME- TRACK: 02, 00:37, DISC: 2</v>
      </c>
      <c r="B448" t="s">
        <v>90</v>
      </c>
      <c r="C448" s="7" t="str">
        <f t="shared" si="22"/>
        <v>31</v>
      </c>
      <c r="D448" s="8" t="s">
        <v>109</v>
      </c>
      <c r="E448" s="7" t="str">
        <f t="shared" si="23"/>
        <v>70</v>
      </c>
      <c r="F448" s="5"/>
      <c r="G448" s="5"/>
    </row>
    <row r="449" spans="1:7" x14ac:dyDescent="0.25">
      <c r="A449" s="9" t="str">
        <f t="shared" si="21"/>
        <v>01 MASTER REQUEST - SLAVE POLL</v>
      </c>
      <c r="B449" t="s">
        <v>36</v>
      </c>
      <c r="C449" s="7" t="str">
        <f t="shared" si="22"/>
        <v>10</v>
      </c>
      <c r="D449" s="8" t="s">
        <v>109</v>
      </c>
      <c r="E449" s="7" t="str">
        <f t="shared" si="23"/>
        <v>31</v>
      </c>
      <c r="F449" s="5"/>
      <c r="G449" s="5"/>
    </row>
    <row r="450" spans="1:7" x14ac:dyDescent="0.25">
      <c r="A450" s="9" t="str">
        <f t="shared" si="21"/>
        <v>00 STATUS - PLAYING</v>
      </c>
      <c r="B450" t="s">
        <v>35</v>
      </c>
      <c r="C450" s="7" t="str">
        <f t="shared" si="22"/>
        <v>31</v>
      </c>
      <c r="D450" s="8" t="s">
        <v>109</v>
      </c>
      <c r="E450" s="7" t="str">
        <f t="shared" si="23"/>
        <v>10</v>
      </c>
      <c r="F450" s="5"/>
      <c r="G450" s="5"/>
    </row>
    <row r="451" spans="1:7" x14ac:dyDescent="0.25">
      <c r="A451" s="9" t="str">
        <f t="shared" ref="A451:A514" si="24">ParseUnilink(B451)</f>
        <v>84 REQUEST MORE TEXT FIELDS - SEND MAGAZINE INFO</v>
      </c>
      <c r="B451" t="s">
        <v>14</v>
      </c>
      <c r="C451" s="7" t="str">
        <f t="shared" ref="C451:C514" si="25">MID(B451,4,2)</f>
        <v>10</v>
      </c>
      <c r="D451" s="8" t="s">
        <v>109</v>
      </c>
      <c r="E451" s="7" t="str">
        <f t="shared" ref="E451:E514" si="26">MID(B451,1,2)</f>
        <v>31</v>
      </c>
      <c r="F451" s="5"/>
      <c r="G451" s="5"/>
    </row>
    <row r="452" spans="1:7" x14ac:dyDescent="0.25">
      <c r="A452" s="9" t="str">
        <f t="shared" si="24"/>
        <v>01 MASTER REQUEST - TIME POLL</v>
      </c>
      <c r="B452" t="s">
        <v>34</v>
      </c>
      <c r="C452" s="7" t="str">
        <f t="shared" si="25"/>
        <v>10</v>
      </c>
      <c r="D452" s="8" t="s">
        <v>109</v>
      </c>
      <c r="E452" s="7" t="str">
        <f t="shared" si="26"/>
        <v>31</v>
      </c>
      <c r="F452" s="5"/>
      <c r="G452" s="5"/>
    </row>
    <row r="453" spans="1:7" x14ac:dyDescent="0.25">
      <c r="A453" s="9" t="str">
        <f t="shared" si="24"/>
        <v>00 STATUS - PLAYING</v>
      </c>
      <c r="B453" t="s">
        <v>35</v>
      </c>
      <c r="C453" s="7" t="str">
        <f t="shared" si="25"/>
        <v>31</v>
      </c>
      <c r="D453" s="8" t="s">
        <v>109</v>
      </c>
      <c r="E453" s="7" t="str">
        <f t="shared" si="26"/>
        <v>10</v>
      </c>
      <c r="F453" s="5"/>
      <c r="G453" s="5"/>
    </row>
    <row r="454" spans="1:7" x14ac:dyDescent="0.25">
      <c r="A454" s="9" t="str">
        <f t="shared" si="24"/>
        <v>84 REQUEST MORE TEXT FIELDS - SEND DISC INFO</v>
      </c>
      <c r="B454" t="s">
        <v>17</v>
      </c>
      <c r="C454" s="7" t="str">
        <f t="shared" si="25"/>
        <v>10</v>
      </c>
      <c r="D454" s="8" t="s">
        <v>109</v>
      </c>
      <c r="E454" s="7" t="str">
        <f t="shared" si="26"/>
        <v>31</v>
      </c>
      <c r="F454" s="5"/>
      <c r="G454" s="5"/>
    </row>
    <row r="455" spans="1:7" x14ac:dyDescent="0.25">
      <c r="A455" s="9" t="str">
        <f t="shared" si="24"/>
        <v>01 MASTER REQUEST - SLAVE POLL</v>
      </c>
      <c r="B455" t="s">
        <v>36</v>
      </c>
      <c r="C455" s="7" t="str">
        <f t="shared" si="25"/>
        <v>10</v>
      </c>
      <c r="D455" s="8" t="s">
        <v>109</v>
      </c>
      <c r="E455" s="7" t="str">
        <f t="shared" si="26"/>
        <v>31</v>
      </c>
      <c r="F455" s="5"/>
      <c r="G455" s="5"/>
    </row>
    <row r="456" spans="1:7" x14ac:dyDescent="0.25">
      <c r="A456" s="9" t="str">
        <f t="shared" si="24"/>
        <v>90 TIME- TRACK: 02, 00:38, DISC: 2</v>
      </c>
      <c r="B456" t="s">
        <v>91</v>
      </c>
      <c r="C456" s="7" t="str">
        <f t="shared" si="25"/>
        <v>31</v>
      </c>
      <c r="D456" s="8" t="s">
        <v>109</v>
      </c>
      <c r="E456" s="7" t="str">
        <f t="shared" si="26"/>
        <v>70</v>
      </c>
      <c r="F456" s="5"/>
      <c r="G456" s="5"/>
    </row>
    <row r="457" spans="1:7" x14ac:dyDescent="0.25">
      <c r="A457" s="9" t="str">
        <f t="shared" si="24"/>
        <v>01 MASTER REQUEST - SLAVE POLL</v>
      </c>
      <c r="B457" t="s">
        <v>36</v>
      </c>
      <c r="C457" s="7" t="str">
        <f t="shared" si="25"/>
        <v>10</v>
      </c>
      <c r="D457" s="8" t="s">
        <v>109</v>
      </c>
      <c r="E457" s="7" t="str">
        <f t="shared" si="26"/>
        <v>31</v>
      </c>
      <c r="F457" s="5"/>
      <c r="G457" s="5"/>
    </row>
    <row r="458" spans="1:7" x14ac:dyDescent="0.25">
      <c r="A458" s="9" t="str">
        <f t="shared" si="24"/>
        <v>97 DISC INFO - TRACKS: 69, MINS: 88, SECS: 00, DISC: 2</v>
      </c>
      <c r="B458" t="s">
        <v>38</v>
      </c>
      <c r="C458" s="7" t="str">
        <f t="shared" si="25"/>
        <v>31</v>
      </c>
      <c r="D458" s="8" t="s">
        <v>109</v>
      </c>
      <c r="E458" s="7" t="str">
        <f t="shared" si="26"/>
        <v>10</v>
      </c>
      <c r="F458" s="5"/>
      <c r="G458" s="5"/>
    </row>
    <row r="459" spans="1:7" x14ac:dyDescent="0.25">
      <c r="A459" s="9" t="str">
        <f t="shared" si="24"/>
        <v>01 MASTER REQUEST - SLAVE POLL</v>
      </c>
      <c r="B459" t="s">
        <v>36</v>
      </c>
      <c r="C459" s="7" t="str">
        <f t="shared" si="25"/>
        <v>10</v>
      </c>
      <c r="D459" s="8" t="s">
        <v>109</v>
      </c>
      <c r="E459" s="7" t="str">
        <f t="shared" si="26"/>
        <v>31</v>
      </c>
      <c r="F459" s="5"/>
      <c r="G459" s="5"/>
    </row>
    <row r="460" spans="1:7" x14ac:dyDescent="0.25">
      <c r="A460" s="9" t="str">
        <f t="shared" si="24"/>
        <v>90 TIME- TRACK: 02, 00:39, DISC: 2</v>
      </c>
      <c r="B460" t="s">
        <v>92</v>
      </c>
      <c r="C460" s="7" t="str">
        <f t="shared" si="25"/>
        <v>31</v>
      </c>
      <c r="D460" s="8" t="s">
        <v>109</v>
      </c>
      <c r="E460" s="7" t="str">
        <f t="shared" si="26"/>
        <v>70</v>
      </c>
      <c r="F460" s="5"/>
      <c r="G460" s="5"/>
    </row>
    <row r="461" spans="1:7" x14ac:dyDescent="0.25">
      <c r="A461" s="9" t="str">
        <f t="shared" si="24"/>
        <v>01 MASTER REQUEST - SLAVE POLL</v>
      </c>
      <c r="B461" t="s">
        <v>36</v>
      </c>
      <c r="C461" s="7" t="str">
        <f t="shared" si="25"/>
        <v>10</v>
      </c>
      <c r="D461" s="8" t="s">
        <v>109</v>
      </c>
      <c r="E461" s="7" t="str">
        <f t="shared" si="26"/>
        <v>31</v>
      </c>
      <c r="F461" s="5"/>
      <c r="G461" s="5"/>
    </row>
    <row r="462" spans="1:7" x14ac:dyDescent="0.25">
      <c r="A462" s="9" t="str">
        <f t="shared" si="24"/>
        <v>00 STATUS - PLAYING</v>
      </c>
      <c r="B462" t="s">
        <v>35</v>
      </c>
      <c r="C462" s="7" t="str">
        <f t="shared" si="25"/>
        <v>31</v>
      </c>
      <c r="D462" s="8" t="s">
        <v>109</v>
      </c>
      <c r="E462" s="7" t="str">
        <f t="shared" si="26"/>
        <v>10</v>
      </c>
      <c r="F462" s="5"/>
      <c r="G462" s="5"/>
    </row>
    <row r="463" spans="1:7" x14ac:dyDescent="0.25">
      <c r="A463" s="9" t="str">
        <f t="shared" si="24"/>
        <v>84 REQUEST MORE TEXT FIELDS - SEND MAGAZINE INFO</v>
      </c>
      <c r="B463" t="s">
        <v>14</v>
      </c>
      <c r="C463" s="7" t="str">
        <f t="shared" si="25"/>
        <v>10</v>
      </c>
      <c r="D463" s="8" t="s">
        <v>109</v>
      </c>
      <c r="E463" s="7" t="str">
        <f t="shared" si="26"/>
        <v>31</v>
      </c>
      <c r="F463" s="5"/>
      <c r="G463" s="5"/>
    </row>
    <row r="464" spans="1:7" x14ac:dyDescent="0.25">
      <c r="A464" s="9" t="str">
        <f t="shared" si="24"/>
        <v>01 MASTER REQUEST - TIME POLL</v>
      </c>
      <c r="B464" t="s">
        <v>34</v>
      </c>
      <c r="C464" s="7" t="str">
        <f t="shared" si="25"/>
        <v>10</v>
      </c>
      <c r="D464" s="8" t="s">
        <v>109</v>
      </c>
      <c r="E464" s="7" t="str">
        <f t="shared" si="26"/>
        <v>31</v>
      </c>
      <c r="F464" s="5"/>
      <c r="G464" s="5"/>
    </row>
    <row r="465" spans="1:7" x14ac:dyDescent="0.25">
      <c r="A465" s="9" t="str">
        <f t="shared" si="24"/>
        <v>00 STATUS - PLAYING</v>
      </c>
      <c r="B465" t="s">
        <v>35</v>
      </c>
      <c r="C465" s="7" t="str">
        <f t="shared" si="25"/>
        <v>31</v>
      </c>
      <c r="D465" s="8" t="s">
        <v>109</v>
      </c>
      <c r="E465" s="7" t="str">
        <f t="shared" si="26"/>
        <v>10</v>
      </c>
      <c r="F465" s="5"/>
      <c r="G465" s="5"/>
    </row>
    <row r="466" spans="1:7" x14ac:dyDescent="0.25">
      <c r="A466" s="9" t="str">
        <f t="shared" si="24"/>
        <v>01 MASTER REQUEST - SLAVE POLL</v>
      </c>
      <c r="B466" t="s">
        <v>36</v>
      </c>
      <c r="C466" s="7" t="str">
        <f t="shared" si="25"/>
        <v>10</v>
      </c>
      <c r="D466" s="8" t="s">
        <v>109</v>
      </c>
      <c r="E466" s="7" t="str">
        <f t="shared" si="26"/>
        <v>31</v>
      </c>
      <c r="F466" s="5"/>
      <c r="G466" s="5"/>
    </row>
    <row r="467" spans="1:7" x14ac:dyDescent="0.25">
      <c r="A467" s="9" t="str">
        <f t="shared" si="24"/>
        <v>95 MAGAZINE INFO - CD1 YES, CD2 YES, CD3 NO, CD4 NO, CD5 NO, CD6 NO</v>
      </c>
      <c r="B467" t="s">
        <v>37</v>
      </c>
      <c r="C467" s="7" t="str">
        <f t="shared" si="25"/>
        <v>31</v>
      </c>
      <c r="D467" s="8" t="s">
        <v>109</v>
      </c>
      <c r="E467" s="7" t="str">
        <f t="shared" si="26"/>
        <v>10</v>
      </c>
      <c r="F467" s="5"/>
      <c r="G467" s="5"/>
    </row>
    <row r="468" spans="1:7" x14ac:dyDescent="0.25">
      <c r="A468" s="9" t="str">
        <f t="shared" si="24"/>
        <v>01 MASTER REQUEST - SLAVE POLL</v>
      </c>
      <c r="B468" t="s">
        <v>36</v>
      </c>
      <c r="C468" s="7" t="str">
        <f t="shared" si="25"/>
        <v>10</v>
      </c>
      <c r="D468" s="8" t="s">
        <v>109</v>
      </c>
      <c r="E468" s="7" t="str">
        <f t="shared" si="26"/>
        <v>31</v>
      </c>
      <c r="F468" s="5"/>
      <c r="G468" s="5"/>
    </row>
    <row r="469" spans="1:7" x14ac:dyDescent="0.25">
      <c r="A469" s="9" t="str">
        <f t="shared" si="24"/>
        <v>00 STATUS - PLAYING</v>
      </c>
      <c r="B469" t="s">
        <v>35</v>
      </c>
      <c r="C469" s="7" t="str">
        <f t="shared" si="25"/>
        <v>31</v>
      </c>
      <c r="D469" s="8" t="s">
        <v>109</v>
      </c>
      <c r="E469" s="7" t="str">
        <f t="shared" si="26"/>
        <v>10</v>
      </c>
      <c r="F469" s="5"/>
      <c r="G469" s="5"/>
    </row>
    <row r="470" spans="1:7" x14ac:dyDescent="0.25">
      <c r="A470" s="9" t="str">
        <f t="shared" si="24"/>
        <v>84 REQUEST MORE TEXT FIELDS - SEND DISC INFO</v>
      </c>
      <c r="B470" t="s">
        <v>17</v>
      </c>
      <c r="C470" s="7" t="str">
        <f t="shared" si="25"/>
        <v>10</v>
      </c>
      <c r="D470" s="8" t="s">
        <v>109</v>
      </c>
      <c r="E470" s="7" t="str">
        <f t="shared" si="26"/>
        <v>31</v>
      </c>
      <c r="F470" s="5"/>
      <c r="G470" s="5"/>
    </row>
    <row r="471" spans="1:7" x14ac:dyDescent="0.25">
      <c r="A471" s="9" t="str">
        <f t="shared" si="24"/>
        <v>01 MASTER REQUEST - SLAVE POLL</v>
      </c>
      <c r="B471" t="s">
        <v>36</v>
      </c>
      <c r="C471" s="7" t="str">
        <f t="shared" si="25"/>
        <v>10</v>
      </c>
      <c r="D471" s="8" t="s">
        <v>109</v>
      </c>
      <c r="E471" s="7" t="str">
        <f t="shared" si="26"/>
        <v>31</v>
      </c>
      <c r="F471" s="5"/>
      <c r="G471" s="5"/>
    </row>
    <row r="472" spans="1:7" x14ac:dyDescent="0.25">
      <c r="A472" s="9" t="str">
        <f t="shared" si="24"/>
        <v>97 DISC INFO - TRACKS: 69, MINS: 88, SECS: 00, DISC: 2</v>
      </c>
      <c r="B472" t="s">
        <v>38</v>
      </c>
      <c r="C472" s="7" t="str">
        <f t="shared" si="25"/>
        <v>31</v>
      </c>
      <c r="D472" s="8" t="s">
        <v>109</v>
      </c>
      <c r="E472" s="7" t="str">
        <f t="shared" si="26"/>
        <v>10</v>
      </c>
      <c r="F472" s="5"/>
      <c r="G472" s="5"/>
    </row>
    <row r="473" spans="1:7" x14ac:dyDescent="0.25">
      <c r="A473" s="9" t="str">
        <f t="shared" si="24"/>
        <v>01 MASTER REQUEST - SLAVE POLL</v>
      </c>
      <c r="B473" t="s">
        <v>36</v>
      </c>
      <c r="C473" s="7" t="str">
        <f t="shared" si="25"/>
        <v>10</v>
      </c>
      <c r="D473" s="8" t="s">
        <v>109</v>
      </c>
      <c r="E473" s="7" t="str">
        <f t="shared" si="26"/>
        <v>31</v>
      </c>
      <c r="F473" s="5"/>
      <c r="G473" s="5"/>
    </row>
    <row r="474" spans="1:7" x14ac:dyDescent="0.25">
      <c r="A474" s="9" t="str">
        <f t="shared" si="24"/>
        <v>00 STATUS - PLAYING</v>
      </c>
      <c r="B474" t="s">
        <v>35</v>
      </c>
      <c r="C474" s="7" t="str">
        <f t="shared" si="25"/>
        <v>31</v>
      </c>
      <c r="D474" s="8" t="s">
        <v>109</v>
      </c>
      <c r="E474" s="7" t="str">
        <f t="shared" si="26"/>
        <v>10</v>
      </c>
      <c r="F474" s="5"/>
      <c r="G474" s="5"/>
    </row>
    <row r="475" spans="1:7" x14ac:dyDescent="0.25">
      <c r="A475" s="9" t="str">
        <f t="shared" si="24"/>
        <v>01 MASTER REQUEST - SLAVE POLL</v>
      </c>
      <c r="B475" t="s">
        <v>36</v>
      </c>
      <c r="C475" s="7" t="str">
        <f t="shared" si="25"/>
        <v>10</v>
      </c>
      <c r="D475" s="8" t="s">
        <v>109</v>
      </c>
      <c r="E475" s="7" t="str">
        <f t="shared" si="26"/>
        <v>31</v>
      </c>
      <c r="F475" s="5"/>
      <c r="G475" s="5"/>
    </row>
    <row r="476" spans="1:7" x14ac:dyDescent="0.25">
      <c r="A476" s="9" t="str">
        <f t="shared" si="24"/>
        <v>90 TIME- TRACK: 02, 00:40, DISC: 2</v>
      </c>
      <c r="B476" t="s">
        <v>93</v>
      </c>
      <c r="C476" s="7" t="str">
        <f t="shared" si="25"/>
        <v>31</v>
      </c>
      <c r="D476" s="8" t="s">
        <v>109</v>
      </c>
      <c r="E476" s="7" t="str">
        <f t="shared" si="26"/>
        <v>70</v>
      </c>
      <c r="F476" s="5"/>
      <c r="G476" s="5"/>
    </row>
    <row r="477" spans="1:7" x14ac:dyDescent="0.25">
      <c r="A477" s="9" t="str">
        <f t="shared" si="24"/>
        <v>01 MASTER REQUEST - SLAVE POLL</v>
      </c>
      <c r="B477" t="s">
        <v>36</v>
      </c>
      <c r="C477" s="7" t="str">
        <f t="shared" si="25"/>
        <v>10</v>
      </c>
      <c r="D477" s="8" t="s">
        <v>109</v>
      </c>
      <c r="E477" s="7" t="str">
        <f t="shared" si="26"/>
        <v>31</v>
      </c>
      <c r="F477" s="5"/>
      <c r="G477" s="5"/>
    </row>
    <row r="478" spans="1:7" x14ac:dyDescent="0.25">
      <c r="A478" s="9" t="str">
        <f t="shared" si="24"/>
        <v>00 STATUS - PLAYING</v>
      </c>
      <c r="B478" t="s">
        <v>35</v>
      </c>
      <c r="C478" s="7" t="str">
        <f t="shared" si="25"/>
        <v>31</v>
      </c>
      <c r="D478" s="8" t="s">
        <v>109</v>
      </c>
      <c r="E478" s="7" t="str">
        <f t="shared" si="26"/>
        <v>10</v>
      </c>
      <c r="F478" s="5"/>
      <c r="G478" s="5"/>
    </row>
    <row r="479" spans="1:7" x14ac:dyDescent="0.25">
      <c r="A479" s="9" t="str">
        <f t="shared" si="24"/>
        <v>84 REQUEST MORE TEXT FIELDS - SEND MAGAZINE INFO</v>
      </c>
      <c r="B479" t="s">
        <v>14</v>
      </c>
      <c r="C479" s="7" t="str">
        <f t="shared" si="25"/>
        <v>10</v>
      </c>
      <c r="D479" s="8" t="s">
        <v>109</v>
      </c>
      <c r="E479" s="7" t="str">
        <f t="shared" si="26"/>
        <v>31</v>
      </c>
      <c r="F479" s="5"/>
      <c r="G479" s="5"/>
    </row>
    <row r="480" spans="1:7" x14ac:dyDescent="0.25">
      <c r="A480" s="9" t="str">
        <f t="shared" si="24"/>
        <v>01 MASTER REQUEST - TIME POLL</v>
      </c>
      <c r="B480" t="s">
        <v>34</v>
      </c>
      <c r="C480" s="7" t="str">
        <f t="shared" si="25"/>
        <v>10</v>
      </c>
      <c r="D480" s="8" t="s">
        <v>109</v>
      </c>
      <c r="E480" s="7" t="str">
        <f t="shared" si="26"/>
        <v>31</v>
      </c>
      <c r="F480" s="5"/>
      <c r="G480" s="5"/>
    </row>
    <row r="481" spans="1:7" x14ac:dyDescent="0.25">
      <c r="A481" s="9" t="str">
        <f t="shared" si="24"/>
        <v>00 STATUS - PLAYING</v>
      </c>
      <c r="B481" t="s">
        <v>35</v>
      </c>
      <c r="C481" s="7" t="str">
        <f t="shared" si="25"/>
        <v>31</v>
      </c>
      <c r="D481" s="8" t="s">
        <v>109</v>
      </c>
      <c r="E481" s="7" t="str">
        <f t="shared" si="26"/>
        <v>10</v>
      </c>
      <c r="F481" s="5"/>
      <c r="G481" s="5"/>
    </row>
    <row r="482" spans="1:7" x14ac:dyDescent="0.25">
      <c r="A482" s="9" t="str">
        <f t="shared" si="24"/>
        <v>84 REQUEST MORE TEXT FIELDS - SEND DISC INFO</v>
      </c>
      <c r="B482" t="s">
        <v>17</v>
      </c>
      <c r="C482" s="7" t="str">
        <f t="shared" si="25"/>
        <v>10</v>
      </c>
      <c r="D482" s="8" t="s">
        <v>109</v>
      </c>
      <c r="E482" s="7" t="str">
        <f t="shared" si="26"/>
        <v>31</v>
      </c>
      <c r="F482" s="5"/>
      <c r="G482" s="5"/>
    </row>
    <row r="483" spans="1:7" x14ac:dyDescent="0.25">
      <c r="A483" s="9" t="str">
        <f t="shared" si="24"/>
        <v>01 MASTER REQUEST - SLAVE POLL</v>
      </c>
      <c r="B483" t="s">
        <v>36</v>
      </c>
      <c r="C483" s="7" t="str">
        <f t="shared" si="25"/>
        <v>10</v>
      </c>
      <c r="D483" s="8" t="s">
        <v>109</v>
      </c>
      <c r="E483" s="7" t="str">
        <f t="shared" si="26"/>
        <v>31</v>
      </c>
      <c r="F483" s="5"/>
      <c r="G483" s="5"/>
    </row>
    <row r="484" spans="1:7" x14ac:dyDescent="0.25">
      <c r="A484" s="9" t="str">
        <f t="shared" si="24"/>
        <v>95 MAGAZINE INFO - CD1 YES, CD2 YES, CD3 NO, CD4 NO, CD5 NO, CD6 NO</v>
      </c>
      <c r="B484" t="s">
        <v>37</v>
      </c>
      <c r="C484" s="7" t="str">
        <f t="shared" si="25"/>
        <v>31</v>
      </c>
      <c r="D484" s="8" t="s">
        <v>109</v>
      </c>
      <c r="E484" s="7" t="str">
        <f t="shared" si="26"/>
        <v>10</v>
      </c>
      <c r="F484" s="5"/>
      <c r="G484" s="5"/>
    </row>
    <row r="485" spans="1:7" x14ac:dyDescent="0.25">
      <c r="A485" s="9" t="str">
        <f t="shared" si="24"/>
        <v>01 MASTER REQUEST - SLAVE POLL</v>
      </c>
      <c r="B485" t="s">
        <v>36</v>
      </c>
      <c r="C485" s="7" t="str">
        <f t="shared" si="25"/>
        <v>10</v>
      </c>
      <c r="D485" s="8" t="s">
        <v>109</v>
      </c>
      <c r="E485" s="7" t="str">
        <f t="shared" si="26"/>
        <v>31</v>
      </c>
      <c r="F485" s="5"/>
      <c r="G485" s="5"/>
    </row>
    <row r="486" spans="1:7" x14ac:dyDescent="0.25">
      <c r="A486" s="9" t="str">
        <f t="shared" si="24"/>
        <v>97 DISC INFO - TRACKS: 69, MINS: 88, SECS: 00, DISC: 2</v>
      </c>
      <c r="B486" t="s">
        <v>38</v>
      </c>
      <c r="C486" s="7" t="str">
        <f t="shared" si="25"/>
        <v>31</v>
      </c>
      <c r="D486" s="8" t="s">
        <v>109</v>
      </c>
      <c r="E486" s="7" t="str">
        <f t="shared" si="26"/>
        <v>10</v>
      </c>
      <c r="F486" s="5"/>
      <c r="G486" s="5"/>
    </row>
    <row r="487" spans="1:7" x14ac:dyDescent="0.25">
      <c r="A487" s="9" t="str">
        <f t="shared" si="24"/>
        <v>01 MASTER REQUEST - SLAVE POLL</v>
      </c>
      <c r="B487" t="s">
        <v>36</v>
      </c>
      <c r="C487" s="7" t="str">
        <f t="shared" si="25"/>
        <v>10</v>
      </c>
      <c r="D487" s="8" t="s">
        <v>109</v>
      </c>
      <c r="E487" s="7" t="str">
        <f t="shared" si="26"/>
        <v>31</v>
      </c>
      <c r="F487" s="5"/>
      <c r="G487" s="5"/>
    </row>
    <row r="488" spans="1:7" x14ac:dyDescent="0.25">
      <c r="A488" s="9" t="str">
        <f t="shared" si="24"/>
        <v>90 TIME- TRACK: 02, 00:41, DISC: 2</v>
      </c>
      <c r="B488" t="s">
        <v>94</v>
      </c>
      <c r="C488" s="7" t="str">
        <f t="shared" si="25"/>
        <v>31</v>
      </c>
      <c r="D488" s="8" t="s">
        <v>109</v>
      </c>
      <c r="E488" s="7" t="str">
        <f t="shared" si="26"/>
        <v>70</v>
      </c>
      <c r="F488" s="5"/>
      <c r="G488" s="5"/>
    </row>
    <row r="489" spans="1:7" x14ac:dyDescent="0.25">
      <c r="A489" s="9" t="str">
        <f t="shared" si="24"/>
        <v>01 MASTER REQUEST - SLAVE POLL</v>
      </c>
      <c r="B489" t="s">
        <v>36</v>
      </c>
      <c r="C489" s="7" t="str">
        <f t="shared" si="25"/>
        <v>10</v>
      </c>
      <c r="D489" s="8" t="s">
        <v>109</v>
      </c>
      <c r="E489" s="7" t="str">
        <f t="shared" si="26"/>
        <v>31</v>
      </c>
      <c r="F489" s="5"/>
      <c r="G489" s="5"/>
    </row>
    <row r="490" spans="1:7" x14ac:dyDescent="0.25">
      <c r="A490" s="9" t="str">
        <f t="shared" si="24"/>
        <v>00 STATUS - PLAYING</v>
      </c>
      <c r="B490" t="s">
        <v>35</v>
      </c>
      <c r="C490" s="7" t="str">
        <f t="shared" si="25"/>
        <v>31</v>
      </c>
      <c r="D490" s="8" t="s">
        <v>109</v>
      </c>
      <c r="E490" s="7" t="str">
        <f t="shared" si="26"/>
        <v>10</v>
      </c>
      <c r="F490" s="5"/>
      <c r="G490" s="5"/>
    </row>
    <row r="491" spans="1:7" x14ac:dyDescent="0.25">
      <c r="A491" s="9" t="str">
        <f t="shared" si="24"/>
        <v>01 MASTER REQUEST - SLAVE POLL</v>
      </c>
      <c r="B491" t="s">
        <v>36</v>
      </c>
      <c r="C491" s="7" t="str">
        <f t="shared" si="25"/>
        <v>10</v>
      </c>
      <c r="D491" s="8" t="s">
        <v>109</v>
      </c>
      <c r="E491" s="7" t="str">
        <f t="shared" si="26"/>
        <v>31</v>
      </c>
      <c r="F491" s="5"/>
      <c r="G491" s="5"/>
    </row>
    <row r="492" spans="1:7" x14ac:dyDescent="0.25">
      <c r="A492" s="9" t="str">
        <f t="shared" si="24"/>
        <v>90 TIME- TRACK: 02, 00:42, DISC: 2</v>
      </c>
      <c r="B492" t="s">
        <v>95</v>
      </c>
      <c r="C492" s="7" t="str">
        <f t="shared" si="25"/>
        <v>31</v>
      </c>
      <c r="D492" s="8" t="s">
        <v>109</v>
      </c>
      <c r="E492" s="7" t="str">
        <f t="shared" si="26"/>
        <v>70</v>
      </c>
      <c r="F492" s="5"/>
      <c r="G492" s="5"/>
    </row>
    <row r="493" spans="1:7" x14ac:dyDescent="0.25">
      <c r="A493" s="9" t="str">
        <f t="shared" si="24"/>
        <v>84 REQUEST MORE TEXT FIELDS - SEND MAGAZINE INFO</v>
      </c>
      <c r="B493" t="s">
        <v>14</v>
      </c>
      <c r="C493" s="7" t="str">
        <f t="shared" si="25"/>
        <v>10</v>
      </c>
      <c r="D493" s="8" t="s">
        <v>109</v>
      </c>
      <c r="E493" s="7" t="str">
        <f t="shared" si="26"/>
        <v>31</v>
      </c>
      <c r="F493" s="5"/>
      <c r="G493" s="5"/>
    </row>
    <row r="494" spans="1:7" x14ac:dyDescent="0.25">
      <c r="A494" s="9" t="str">
        <f t="shared" si="24"/>
        <v>01 MASTER REQUEST - TIME POLL</v>
      </c>
      <c r="B494" t="s">
        <v>34</v>
      </c>
      <c r="C494" s="7" t="str">
        <f t="shared" si="25"/>
        <v>10</v>
      </c>
      <c r="D494" s="8" t="s">
        <v>109</v>
      </c>
      <c r="E494" s="7" t="str">
        <f t="shared" si="26"/>
        <v>31</v>
      </c>
      <c r="F494" s="5"/>
      <c r="G494" s="5"/>
    </row>
    <row r="495" spans="1:7" x14ac:dyDescent="0.25">
      <c r="A495" s="9" t="str">
        <f t="shared" si="24"/>
        <v>00 STATUS - PLAYING</v>
      </c>
      <c r="B495" t="s">
        <v>35</v>
      </c>
      <c r="C495" s="7" t="str">
        <f t="shared" si="25"/>
        <v>31</v>
      </c>
      <c r="D495" s="8" t="s">
        <v>109</v>
      </c>
      <c r="E495" s="7" t="str">
        <f t="shared" si="26"/>
        <v>10</v>
      </c>
      <c r="F495" s="5"/>
      <c r="G495" s="5"/>
    </row>
    <row r="496" spans="1:7" x14ac:dyDescent="0.25">
      <c r="A496" s="9" t="str">
        <f t="shared" si="24"/>
        <v>84 REQUEST MORE TEXT FIELDS - SEND DISC INFO</v>
      </c>
      <c r="B496" t="s">
        <v>17</v>
      </c>
      <c r="C496" s="7" t="str">
        <f t="shared" si="25"/>
        <v>10</v>
      </c>
      <c r="D496" s="8" t="s">
        <v>109</v>
      </c>
      <c r="E496" s="7" t="str">
        <f t="shared" si="26"/>
        <v>31</v>
      </c>
      <c r="F496" s="5"/>
      <c r="G496" s="5"/>
    </row>
    <row r="497" spans="1:7" x14ac:dyDescent="0.25">
      <c r="A497" s="9" t="str">
        <f t="shared" si="24"/>
        <v>01 MASTER REQUEST - SLAVE POLL</v>
      </c>
      <c r="B497" t="s">
        <v>36</v>
      </c>
      <c r="C497" s="7" t="str">
        <f t="shared" si="25"/>
        <v>10</v>
      </c>
      <c r="D497" s="8" t="s">
        <v>109</v>
      </c>
      <c r="E497" s="7" t="str">
        <f t="shared" si="26"/>
        <v>31</v>
      </c>
      <c r="F497" s="5"/>
      <c r="G497" s="5"/>
    </row>
    <row r="498" spans="1:7" x14ac:dyDescent="0.25">
      <c r="A498" s="9" t="str">
        <f t="shared" si="24"/>
        <v>95 MAGAZINE INFO - CD1 YES, CD2 YES, CD3 NO, CD4 NO, CD5 NO, CD6 NO</v>
      </c>
      <c r="B498" t="s">
        <v>37</v>
      </c>
      <c r="C498" s="7" t="str">
        <f t="shared" si="25"/>
        <v>31</v>
      </c>
      <c r="D498" s="8" t="s">
        <v>109</v>
      </c>
      <c r="E498" s="7" t="str">
        <f t="shared" si="26"/>
        <v>10</v>
      </c>
      <c r="F498" s="5"/>
      <c r="G498" s="5"/>
    </row>
    <row r="499" spans="1:7" x14ac:dyDescent="0.25">
      <c r="A499" s="9" t="str">
        <f t="shared" si="24"/>
        <v>01 MASTER REQUEST - SLAVE POLL</v>
      </c>
      <c r="B499" t="s">
        <v>36</v>
      </c>
      <c r="C499" s="7" t="str">
        <f t="shared" si="25"/>
        <v>10</v>
      </c>
      <c r="D499" s="8" t="s">
        <v>109</v>
      </c>
      <c r="E499" s="7" t="str">
        <f t="shared" si="26"/>
        <v>31</v>
      </c>
      <c r="F499" s="5"/>
      <c r="G499" s="5"/>
    </row>
    <row r="500" spans="1:7" x14ac:dyDescent="0.25">
      <c r="A500" s="9" t="str">
        <f t="shared" si="24"/>
        <v>97 DISC INFO - TRACKS: 69, MINS: 88, SECS: 00, DISC: 2</v>
      </c>
      <c r="B500" t="s">
        <v>38</v>
      </c>
      <c r="C500" s="7" t="str">
        <f t="shared" si="25"/>
        <v>31</v>
      </c>
      <c r="D500" s="8" t="s">
        <v>109</v>
      </c>
      <c r="E500" s="7" t="str">
        <f t="shared" si="26"/>
        <v>10</v>
      </c>
      <c r="F500" s="5"/>
      <c r="G500" s="5"/>
    </row>
    <row r="501" spans="1:7" x14ac:dyDescent="0.25">
      <c r="A501" s="9" t="str">
        <f t="shared" si="24"/>
        <v>01 MASTER REQUEST - SLAVE POLL</v>
      </c>
      <c r="B501" t="s">
        <v>36</v>
      </c>
      <c r="C501" s="7" t="str">
        <f t="shared" si="25"/>
        <v>10</v>
      </c>
      <c r="D501" s="8" t="s">
        <v>109</v>
      </c>
      <c r="E501" s="7" t="str">
        <f t="shared" si="26"/>
        <v>31</v>
      </c>
      <c r="F501" s="5"/>
      <c r="G501" s="5"/>
    </row>
    <row r="502" spans="1:7" x14ac:dyDescent="0.25">
      <c r="A502" s="9" t="str">
        <f t="shared" si="24"/>
        <v>90 TIME- TRACK: 02, 00:44, DISC: 2</v>
      </c>
      <c r="B502" t="s">
        <v>96</v>
      </c>
      <c r="C502" s="7" t="str">
        <f t="shared" si="25"/>
        <v>31</v>
      </c>
      <c r="D502" s="8" t="s">
        <v>109</v>
      </c>
      <c r="E502" s="7" t="str">
        <f t="shared" si="26"/>
        <v>70</v>
      </c>
      <c r="F502" s="5"/>
      <c r="G502" s="5"/>
    </row>
    <row r="503" spans="1:7" x14ac:dyDescent="0.25">
      <c r="A503" s="9" t="str">
        <f t="shared" si="24"/>
        <v>01 MASTER REQUEST - SLAVE POLL</v>
      </c>
      <c r="B503" t="s">
        <v>36</v>
      </c>
      <c r="C503" s="7" t="str">
        <f t="shared" si="25"/>
        <v>10</v>
      </c>
      <c r="D503" s="8" t="s">
        <v>109</v>
      </c>
      <c r="E503" s="7" t="str">
        <f t="shared" si="26"/>
        <v>31</v>
      </c>
      <c r="F503" s="5"/>
      <c r="G503" s="5"/>
    </row>
    <row r="504" spans="1:7" x14ac:dyDescent="0.25">
      <c r="A504" s="9" t="str">
        <f t="shared" si="24"/>
        <v>00 STATUS - PLAYING</v>
      </c>
      <c r="B504" t="s">
        <v>35</v>
      </c>
      <c r="C504" s="7" t="str">
        <f t="shared" si="25"/>
        <v>31</v>
      </c>
      <c r="D504" s="8" t="s">
        <v>109</v>
      </c>
      <c r="E504" s="7" t="str">
        <f t="shared" si="26"/>
        <v>10</v>
      </c>
      <c r="F504" s="5"/>
      <c r="G504" s="5"/>
    </row>
    <row r="505" spans="1:7" x14ac:dyDescent="0.25">
      <c r="A505" s="9" t="str">
        <f t="shared" si="24"/>
        <v>84 REQUEST MORE TEXT FIELDS - SEND MAGAZINE INFO</v>
      </c>
      <c r="B505" t="s">
        <v>14</v>
      </c>
      <c r="C505" s="7" t="str">
        <f t="shared" si="25"/>
        <v>10</v>
      </c>
      <c r="D505" s="8" t="s">
        <v>109</v>
      </c>
      <c r="E505" s="7" t="str">
        <f t="shared" si="26"/>
        <v>31</v>
      </c>
      <c r="F505" s="5"/>
      <c r="G505" s="5"/>
    </row>
    <row r="506" spans="1:7" x14ac:dyDescent="0.25">
      <c r="A506" s="9" t="str">
        <f t="shared" si="24"/>
        <v>01 MASTER REQUEST - TIME POLL</v>
      </c>
      <c r="B506" t="s">
        <v>34</v>
      </c>
      <c r="C506" s="7" t="str">
        <f t="shared" si="25"/>
        <v>10</v>
      </c>
      <c r="D506" s="8" t="s">
        <v>109</v>
      </c>
      <c r="E506" s="7" t="str">
        <f t="shared" si="26"/>
        <v>31</v>
      </c>
      <c r="F506" s="5"/>
      <c r="G506" s="5"/>
    </row>
    <row r="507" spans="1:7" x14ac:dyDescent="0.25">
      <c r="A507" s="9" t="str">
        <f t="shared" si="24"/>
        <v>00 STATUS - PLAYING</v>
      </c>
      <c r="B507" t="s">
        <v>35</v>
      </c>
      <c r="C507" s="7" t="str">
        <f t="shared" si="25"/>
        <v>31</v>
      </c>
      <c r="D507" s="8" t="s">
        <v>109</v>
      </c>
      <c r="E507" s="7" t="str">
        <f t="shared" si="26"/>
        <v>10</v>
      </c>
      <c r="F507" s="5"/>
      <c r="G507" s="5"/>
    </row>
    <row r="508" spans="1:7" x14ac:dyDescent="0.25">
      <c r="A508" s="9" t="str">
        <f t="shared" si="24"/>
        <v>84 REQUEST MORE TEXT FIELDS - SEND DISC INFO</v>
      </c>
      <c r="B508" t="s">
        <v>17</v>
      </c>
      <c r="C508" s="7" t="str">
        <f t="shared" si="25"/>
        <v>10</v>
      </c>
      <c r="D508" s="8" t="s">
        <v>109</v>
      </c>
      <c r="E508" s="7" t="str">
        <f t="shared" si="26"/>
        <v>31</v>
      </c>
      <c r="F508" s="5"/>
      <c r="G508" s="5"/>
    </row>
    <row r="509" spans="1:7" x14ac:dyDescent="0.25">
      <c r="A509" s="9" t="str">
        <f t="shared" si="24"/>
        <v>01 MASTER REQUEST - SLAVE POLL</v>
      </c>
      <c r="B509" t="s">
        <v>36</v>
      </c>
      <c r="C509" s="7" t="str">
        <f t="shared" si="25"/>
        <v>10</v>
      </c>
      <c r="D509" s="8" t="s">
        <v>109</v>
      </c>
      <c r="E509" s="7" t="str">
        <f t="shared" si="26"/>
        <v>31</v>
      </c>
      <c r="F509" s="5"/>
      <c r="G509" s="5"/>
    </row>
    <row r="510" spans="1:7" x14ac:dyDescent="0.25">
      <c r="A510" s="9" t="str">
        <f t="shared" si="24"/>
        <v>95 MAGAZINE INFO - CD1 YES, CD2 YES, CD3 NO, CD4 NO, CD5 NO, CD6 NO</v>
      </c>
      <c r="B510" t="s">
        <v>37</v>
      </c>
      <c r="C510" s="7" t="str">
        <f t="shared" si="25"/>
        <v>31</v>
      </c>
      <c r="D510" s="8" t="s">
        <v>109</v>
      </c>
      <c r="E510" s="7" t="str">
        <f t="shared" si="26"/>
        <v>10</v>
      </c>
      <c r="F510" s="5"/>
      <c r="G510" s="5"/>
    </row>
    <row r="511" spans="1:7" x14ac:dyDescent="0.25">
      <c r="A511" s="9" t="str">
        <f t="shared" si="24"/>
        <v>01 MASTER REQUEST - SLAVE POLL</v>
      </c>
      <c r="B511" t="s">
        <v>36</v>
      </c>
      <c r="C511" s="7" t="str">
        <f t="shared" si="25"/>
        <v>10</v>
      </c>
      <c r="D511" s="8" t="s">
        <v>109</v>
      </c>
      <c r="E511" s="7" t="str">
        <f t="shared" si="26"/>
        <v>31</v>
      </c>
      <c r="F511" s="5"/>
      <c r="G511" s="5"/>
    </row>
    <row r="512" spans="1:7" x14ac:dyDescent="0.25">
      <c r="A512" s="9" t="str">
        <f t="shared" si="24"/>
        <v>97 DISC INFO - TRACKS: 69, MINS: 88, SECS: 00, DISC: 2</v>
      </c>
      <c r="B512" t="s">
        <v>38</v>
      </c>
      <c r="C512" s="7" t="str">
        <f t="shared" si="25"/>
        <v>31</v>
      </c>
      <c r="D512" s="8" t="s">
        <v>109</v>
      </c>
      <c r="E512" s="7" t="str">
        <f t="shared" si="26"/>
        <v>10</v>
      </c>
      <c r="F512" s="5"/>
      <c r="G512" s="5"/>
    </row>
    <row r="513" spans="1:7" x14ac:dyDescent="0.25">
      <c r="A513" s="9" t="str">
        <f t="shared" si="24"/>
        <v>01 MASTER REQUEST - SLAVE POLL</v>
      </c>
      <c r="B513" t="s">
        <v>36</v>
      </c>
      <c r="C513" s="7" t="str">
        <f t="shared" si="25"/>
        <v>10</v>
      </c>
      <c r="D513" s="8" t="s">
        <v>109</v>
      </c>
      <c r="E513" s="7" t="str">
        <f t="shared" si="26"/>
        <v>31</v>
      </c>
      <c r="F513" s="5"/>
      <c r="G513" s="5"/>
    </row>
    <row r="514" spans="1:7" x14ac:dyDescent="0.25">
      <c r="A514" s="9" t="str">
        <f t="shared" si="24"/>
        <v>90 TIME- TRACK: 02, 00:45, DISC: 2</v>
      </c>
      <c r="B514" t="s">
        <v>97</v>
      </c>
      <c r="C514" s="7" t="str">
        <f t="shared" si="25"/>
        <v>31</v>
      </c>
      <c r="D514" s="8" t="s">
        <v>109</v>
      </c>
      <c r="E514" s="7" t="str">
        <f t="shared" si="26"/>
        <v>70</v>
      </c>
      <c r="F514" s="5"/>
      <c r="G514" s="5"/>
    </row>
    <row r="515" spans="1:7" x14ac:dyDescent="0.25">
      <c r="A515" s="9" t="str">
        <f t="shared" ref="A515:A544" si="27">ParseUnilink(B515)</f>
        <v>01 MASTER REQUEST - SLAVE POLL</v>
      </c>
      <c r="B515" t="s">
        <v>36</v>
      </c>
      <c r="C515" s="7" t="str">
        <f t="shared" ref="C515:C544" si="28">MID(B515,4,2)</f>
        <v>10</v>
      </c>
      <c r="D515" s="8" t="s">
        <v>109</v>
      </c>
      <c r="E515" s="7" t="str">
        <f t="shared" ref="E515:E544" si="29">MID(B515,1,2)</f>
        <v>31</v>
      </c>
      <c r="F515" s="5"/>
      <c r="G515" s="5"/>
    </row>
    <row r="516" spans="1:7" x14ac:dyDescent="0.25">
      <c r="A516" s="9" t="str">
        <f t="shared" si="27"/>
        <v>00 STATUS - PLAYING</v>
      </c>
      <c r="B516" t="s">
        <v>35</v>
      </c>
      <c r="C516" s="7" t="str">
        <f t="shared" si="28"/>
        <v>31</v>
      </c>
      <c r="D516" s="8" t="s">
        <v>109</v>
      </c>
      <c r="E516" s="7" t="str">
        <f t="shared" si="29"/>
        <v>10</v>
      </c>
      <c r="F516" s="5"/>
      <c r="G516" s="5"/>
    </row>
    <row r="517" spans="1:7" x14ac:dyDescent="0.25">
      <c r="A517" s="9" t="str">
        <f t="shared" si="27"/>
        <v>84 REQUEST MORE TEXT FIELDS - SEND MAGAZINE INFO</v>
      </c>
      <c r="B517" t="s">
        <v>14</v>
      </c>
      <c r="C517" s="7" t="str">
        <f t="shared" si="28"/>
        <v>10</v>
      </c>
      <c r="D517" s="8" t="s">
        <v>109</v>
      </c>
      <c r="E517" s="7" t="str">
        <f t="shared" si="29"/>
        <v>31</v>
      </c>
      <c r="F517" s="5"/>
      <c r="G517" s="5"/>
    </row>
    <row r="518" spans="1:7" x14ac:dyDescent="0.25">
      <c r="A518" s="9" t="str">
        <f t="shared" si="27"/>
        <v>01 MASTER REQUEST - TIME POLL</v>
      </c>
      <c r="B518" t="s">
        <v>34</v>
      </c>
      <c r="C518" s="7" t="str">
        <f t="shared" si="28"/>
        <v>10</v>
      </c>
      <c r="D518" s="8" t="s">
        <v>109</v>
      </c>
      <c r="E518" s="7" t="str">
        <f t="shared" si="29"/>
        <v>31</v>
      </c>
      <c r="F518" s="5"/>
      <c r="G518" s="5"/>
    </row>
    <row r="519" spans="1:7" x14ac:dyDescent="0.25">
      <c r="A519" s="9" t="str">
        <f t="shared" si="27"/>
        <v>00 STATUS - PLAYING</v>
      </c>
      <c r="B519" t="s">
        <v>35</v>
      </c>
      <c r="C519" s="7" t="str">
        <f t="shared" si="28"/>
        <v>31</v>
      </c>
      <c r="D519" s="8" t="s">
        <v>109</v>
      </c>
      <c r="E519" s="7" t="str">
        <f t="shared" si="29"/>
        <v>10</v>
      </c>
      <c r="F519" s="5"/>
      <c r="G519" s="5"/>
    </row>
    <row r="520" spans="1:7" x14ac:dyDescent="0.25">
      <c r="A520" s="9" t="str">
        <f t="shared" si="27"/>
        <v>84 REQUEST MORE TEXT FIELDS - SEND DISC INFO</v>
      </c>
      <c r="B520" t="s">
        <v>17</v>
      </c>
      <c r="C520" s="7" t="str">
        <f t="shared" si="28"/>
        <v>10</v>
      </c>
      <c r="D520" s="8" t="s">
        <v>109</v>
      </c>
      <c r="E520" s="7" t="str">
        <f t="shared" si="29"/>
        <v>31</v>
      </c>
      <c r="F520" s="5"/>
      <c r="G520" s="5"/>
    </row>
    <row r="521" spans="1:7" x14ac:dyDescent="0.25">
      <c r="A521" s="9" t="str">
        <f t="shared" si="27"/>
        <v>01 MASTER REQUEST - SLAVE POLL</v>
      </c>
      <c r="B521" t="s">
        <v>36</v>
      </c>
      <c r="C521" s="7" t="str">
        <f t="shared" si="28"/>
        <v>10</v>
      </c>
      <c r="D521" s="8" t="s">
        <v>109</v>
      </c>
      <c r="E521" s="7" t="str">
        <f t="shared" si="29"/>
        <v>31</v>
      </c>
      <c r="F521" s="5"/>
      <c r="G521" s="5"/>
    </row>
    <row r="522" spans="1:7" x14ac:dyDescent="0.25">
      <c r="A522" s="9" t="str">
        <f t="shared" si="27"/>
        <v>95 MAGAZINE INFO - CD1 YES, CD2 YES, CD3 NO, CD4 NO, CD5 NO, CD6 NO</v>
      </c>
      <c r="B522" t="s">
        <v>37</v>
      </c>
      <c r="C522" s="7" t="str">
        <f t="shared" si="28"/>
        <v>31</v>
      </c>
      <c r="D522" s="8" t="s">
        <v>109</v>
      </c>
      <c r="E522" s="7" t="str">
        <f t="shared" si="29"/>
        <v>10</v>
      </c>
      <c r="F522" s="5"/>
      <c r="G522" s="5"/>
    </row>
    <row r="523" spans="1:7" x14ac:dyDescent="0.25">
      <c r="A523" s="9" t="str">
        <f t="shared" si="27"/>
        <v>01 MASTER REQUEST - SLAVE POLL</v>
      </c>
      <c r="B523" t="s">
        <v>36</v>
      </c>
      <c r="C523" s="7" t="str">
        <f t="shared" si="28"/>
        <v>10</v>
      </c>
      <c r="D523" s="8" t="s">
        <v>109</v>
      </c>
      <c r="E523" s="7" t="str">
        <f t="shared" si="29"/>
        <v>31</v>
      </c>
      <c r="F523" s="5"/>
      <c r="G523" s="5"/>
    </row>
    <row r="524" spans="1:7" x14ac:dyDescent="0.25">
      <c r="A524" s="9" t="str">
        <f t="shared" si="27"/>
        <v>97 DISC INFO - TRACKS: 69, MINS: 88, SECS: 00, DISC: 2</v>
      </c>
      <c r="B524" t="s">
        <v>38</v>
      </c>
      <c r="C524" s="7" t="str">
        <f t="shared" si="28"/>
        <v>31</v>
      </c>
      <c r="D524" s="8" t="s">
        <v>109</v>
      </c>
      <c r="E524" s="7" t="str">
        <f t="shared" si="29"/>
        <v>10</v>
      </c>
      <c r="F524" s="5"/>
      <c r="G524" s="5"/>
    </row>
    <row r="525" spans="1:7" x14ac:dyDescent="0.25">
      <c r="A525" s="9" t="str">
        <f t="shared" si="27"/>
        <v>01 MASTER REQUEST - SLAVE POLL</v>
      </c>
      <c r="B525" t="s">
        <v>36</v>
      </c>
      <c r="C525" s="7" t="str">
        <f t="shared" si="28"/>
        <v>10</v>
      </c>
      <c r="D525" s="8" t="s">
        <v>109</v>
      </c>
      <c r="E525" s="7" t="str">
        <f t="shared" si="29"/>
        <v>31</v>
      </c>
      <c r="F525" s="5"/>
      <c r="G525" s="5"/>
    </row>
    <row r="526" spans="1:7" x14ac:dyDescent="0.25">
      <c r="A526" s="9" t="str">
        <f t="shared" si="27"/>
        <v>90 TIME- TRACK: 02, 00:46, DISC: 2</v>
      </c>
      <c r="B526" t="s">
        <v>98</v>
      </c>
      <c r="C526" s="7" t="str">
        <f t="shared" si="28"/>
        <v>31</v>
      </c>
      <c r="D526" s="8" t="s">
        <v>109</v>
      </c>
      <c r="E526" s="7" t="str">
        <f t="shared" si="29"/>
        <v>70</v>
      </c>
      <c r="F526" s="5"/>
      <c r="G526" s="5"/>
    </row>
    <row r="527" spans="1:7" x14ac:dyDescent="0.25">
      <c r="A527" s="9" t="str">
        <f t="shared" si="27"/>
        <v>01 MASTER REQUEST - SLAVE POLL</v>
      </c>
      <c r="B527" t="s">
        <v>36</v>
      </c>
      <c r="C527" s="7" t="str">
        <f t="shared" si="28"/>
        <v>10</v>
      </c>
      <c r="D527" s="8" t="s">
        <v>109</v>
      </c>
      <c r="E527" s="7" t="str">
        <f t="shared" si="29"/>
        <v>31</v>
      </c>
      <c r="F527" s="5"/>
      <c r="G527" s="5"/>
    </row>
    <row r="528" spans="1:7" x14ac:dyDescent="0.25">
      <c r="A528" s="9" t="str">
        <f t="shared" si="27"/>
        <v>00 STATUS - PLAYING</v>
      </c>
      <c r="B528" t="s">
        <v>35</v>
      </c>
      <c r="C528" s="7" t="str">
        <f t="shared" si="28"/>
        <v>31</v>
      </c>
      <c r="D528" s="8" t="s">
        <v>109</v>
      </c>
      <c r="E528" s="7" t="str">
        <f t="shared" si="29"/>
        <v>10</v>
      </c>
      <c r="F528" s="5"/>
      <c r="G528" s="5"/>
    </row>
    <row r="529" spans="1:7" x14ac:dyDescent="0.25">
      <c r="A529" s="9" t="str">
        <f t="shared" si="27"/>
        <v>01 MASTER REQUEST - SLAVE POLL</v>
      </c>
      <c r="B529" t="s">
        <v>36</v>
      </c>
      <c r="C529" s="7" t="str">
        <f t="shared" si="28"/>
        <v>10</v>
      </c>
      <c r="D529" s="8" t="s">
        <v>109</v>
      </c>
      <c r="E529" s="7" t="str">
        <f t="shared" si="29"/>
        <v>31</v>
      </c>
      <c r="F529" s="5"/>
      <c r="G529" s="5"/>
    </row>
    <row r="530" spans="1:7" x14ac:dyDescent="0.25">
      <c r="A530" s="9" t="str">
        <f t="shared" si="27"/>
        <v>90 TIME- TRACK: 02, 00:47, DISC: 2</v>
      </c>
      <c r="B530" t="s">
        <v>99</v>
      </c>
      <c r="C530" s="7" t="str">
        <f t="shared" si="28"/>
        <v>31</v>
      </c>
      <c r="D530" s="8" t="s">
        <v>109</v>
      </c>
      <c r="E530" s="7" t="str">
        <f t="shared" si="29"/>
        <v>70</v>
      </c>
      <c r="F530" s="5"/>
      <c r="G530" s="5"/>
    </row>
    <row r="531" spans="1:7" x14ac:dyDescent="0.25">
      <c r="A531" s="9" t="str">
        <f t="shared" si="27"/>
        <v>01 MASTER REQUEST - SLAVE POLL</v>
      </c>
      <c r="B531" t="s">
        <v>36</v>
      </c>
      <c r="C531" s="7" t="str">
        <f t="shared" si="28"/>
        <v>10</v>
      </c>
      <c r="D531" s="8" t="s">
        <v>109</v>
      </c>
      <c r="E531" s="7" t="str">
        <f t="shared" si="29"/>
        <v>31</v>
      </c>
      <c r="F531" s="5"/>
      <c r="G531" s="5"/>
    </row>
    <row r="532" spans="1:7" x14ac:dyDescent="0.25">
      <c r="A532" s="9" t="str">
        <f t="shared" si="27"/>
        <v>00 STATUS - PLAYING</v>
      </c>
      <c r="B532" t="s">
        <v>35</v>
      </c>
      <c r="C532" s="7" t="str">
        <f t="shared" si="28"/>
        <v>31</v>
      </c>
      <c r="D532" s="8" t="s">
        <v>109</v>
      </c>
      <c r="E532" s="7" t="str">
        <f t="shared" si="29"/>
        <v>10</v>
      </c>
      <c r="F532" s="5"/>
      <c r="G532" s="5"/>
    </row>
    <row r="533" spans="1:7" x14ac:dyDescent="0.25">
      <c r="A533" s="9" t="str">
        <f t="shared" si="27"/>
        <v>84 REQUEST MORE TEXT FIELDS - SEND MAGAZINE INFO</v>
      </c>
      <c r="B533" t="s">
        <v>14</v>
      </c>
      <c r="C533" s="7" t="str">
        <f t="shared" si="28"/>
        <v>10</v>
      </c>
      <c r="D533" s="8" t="s">
        <v>109</v>
      </c>
      <c r="E533" s="7" t="str">
        <f t="shared" si="29"/>
        <v>31</v>
      </c>
      <c r="F533" s="5"/>
      <c r="G533" s="5"/>
    </row>
    <row r="534" spans="1:7" x14ac:dyDescent="0.25">
      <c r="A534" s="9" t="str">
        <f t="shared" si="27"/>
        <v>01 MASTER REQUEST - TIME POLL</v>
      </c>
      <c r="B534" t="s">
        <v>34</v>
      </c>
      <c r="C534" s="7" t="str">
        <f t="shared" si="28"/>
        <v>10</v>
      </c>
      <c r="D534" s="8" t="s">
        <v>109</v>
      </c>
      <c r="E534" s="7" t="str">
        <f t="shared" si="29"/>
        <v>31</v>
      </c>
      <c r="F534" s="5"/>
      <c r="G534" s="5"/>
    </row>
    <row r="535" spans="1:7" x14ac:dyDescent="0.25">
      <c r="A535" s="9" t="str">
        <f t="shared" si="27"/>
        <v>00 STATUS - PLAYING</v>
      </c>
      <c r="B535" t="s">
        <v>35</v>
      </c>
      <c r="C535" s="7" t="str">
        <f t="shared" si="28"/>
        <v>31</v>
      </c>
      <c r="D535" s="8" t="s">
        <v>109</v>
      </c>
      <c r="E535" s="7" t="str">
        <f t="shared" si="29"/>
        <v>10</v>
      </c>
      <c r="F535" s="5"/>
      <c r="G535" s="5"/>
    </row>
    <row r="536" spans="1:7" x14ac:dyDescent="0.25">
      <c r="A536" s="9" t="str">
        <f t="shared" si="27"/>
        <v>84 REQUEST MORE TEXT FIELDS - SEND DISC INFO</v>
      </c>
      <c r="B536" t="s">
        <v>17</v>
      </c>
      <c r="C536" s="7" t="str">
        <f t="shared" si="28"/>
        <v>10</v>
      </c>
      <c r="D536" s="8" t="s">
        <v>109</v>
      </c>
      <c r="E536" s="7" t="str">
        <f t="shared" si="29"/>
        <v>31</v>
      </c>
      <c r="F536" s="5"/>
      <c r="G536" s="5"/>
    </row>
    <row r="537" spans="1:7" x14ac:dyDescent="0.25">
      <c r="A537" s="9" t="str">
        <f t="shared" si="27"/>
        <v>01 MASTER REQUEST - SLAVE POLL</v>
      </c>
      <c r="B537" t="s">
        <v>36</v>
      </c>
      <c r="C537" s="7" t="str">
        <f t="shared" si="28"/>
        <v>10</v>
      </c>
      <c r="D537" s="8" t="s">
        <v>109</v>
      </c>
      <c r="E537" s="7" t="str">
        <f t="shared" si="29"/>
        <v>31</v>
      </c>
      <c r="F537" s="5"/>
      <c r="G537" s="5"/>
    </row>
    <row r="538" spans="1:7" x14ac:dyDescent="0.25">
      <c r="A538" s="9" t="str">
        <f t="shared" si="27"/>
        <v>95 MAGAZINE INFO - CD1 YES, CD2 YES, CD3 NO, CD4 NO, CD5 NO, CD6 NO</v>
      </c>
      <c r="B538" t="s">
        <v>37</v>
      </c>
      <c r="C538" s="7" t="str">
        <f t="shared" si="28"/>
        <v>31</v>
      </c>
      <c r="D538" s="8" t="s">
        <v>109</v>
      </c>
      <c r="E538" s="7" t="str">
        <f t="shared" si="29"/>
        <v>10</v>
      </c>
      <c r="F538" s="5"/>
      <c r="G538" s="5"/>
    </row>
    <row r="539" spans="1:7" x14ac:dyDescent="0.25">
      <c r="A539" s="9" t="str">
        <f t="shared" si="27"/>
        <v>01 MASTER REQUEST - SLAVE POLL</v>
      </c>
      <c r="B539" t="s">
        <v>36</v>
      </c>
      <c r="C539" s="7" t="str">
        <f t="shared" si="28"/>
        <v>10</v>
      </c>
      <c r="D539" s="8" t="s">
        <v>109</v>
      </c>
      <c r="E539" s="7" t="str">
        <f t="shared" si="29"/>
        <v>31</v>
      </c>
      <c r="F539" s="5"/>
      <c r="G539" s="5"/>
    </row>
    <row r="540" spans="1:7" x14ac:dyDescent="0.25">
      <c r="A540" s="9" t="str">
        <f t="shared" si="27"/>
        <v>97 DISC INFO - TRACKS: 69, MINS: 88, SECS: 00, DISC: 2</v>
      </c>
      <c r="B540" t="s">
        <v>38</v>
      </c>
      <c r="C540" s="7" t="str">
        <f t="shared" si="28"/>
        <v>31</v>
      </c>
      <c r="D540" s="8" t="s">
        <v>109</v>
      </c>
      <c r="E540" s="7" t="str">
        <f t="shared" si="29"/>
        <v>10</v>
      </c>
      <c r="F540" s="5"/>
      <c r="G540" s="5"/>
    </row>
    <row r="541" spans="1:7" x14ac:dyDescent="0.25">
      <c r="A541" s="9" t="str">
        <f t="shared" si="27"/>
        <v>01 MASTER REQUEST - SLAVE POLL</v>
      </c>
      <c r="B541" t="s">
        <v>36</v>
      </c>
      <c r="C541" s="7" t="str">
        <f t="shared" si="28"/>
        <v>10</v>
      </c>
      <c r="D541" s="8" t="s">
        <v>109</v>
      </c>
      <c r="E541" s="7" t="str">
        <f t="shared" si="29"/>
        <v>31</v>
      </c>
      <c r="F541" s="5"/>
      <c r="G541" s="5"/>
    </row>
    <row r="542" spans="1:7" x14ac:dyDescent="0.25">
      <c r="A542" s="9" t="str">
        <f t="shared" si="27"/>
        <v>90 TIME- TRACK: 02, 00:48, DISC: 2</v>
      </c>
      <c r="B542" t="s">
        <v>100</v>
      </c>
      <c r="C542" s="7" t="str">
        <f t="shared" si="28"/>
        <v>31</v>
      </c>
      <c r="D542" s="8" t="s">
        <v>109</v>
      </c>
      <c r="E542" s="7" t="str">
        <f t="shared" si="29"/>
        <v>70</v>
      </c>
      <c r="F542" s="5"/>
      <c r="G542" s="5"/>
    </row>
    <row r="543" spans="1:7" x14ac:dyDescent="0.25">
      <c r="A543" s="9" t="str">
        <f t="shared" si="27"/>
        <v>01 MASTER REQUEST - SLAVE POLL</v>
      </c>
      <c r="B543" t="s">
        <v>36</v>
      </c>
      <c r="C543" s="7" t="str">
        <f t="shared" si="28"/>
        <v>10</v>
      </c>
      <c r="D543" s="8" t="s">
        <v>109</v>
      </c>
      <c r="E543" s="7" t="str">
        <f t="shared" si="29"/>
        <v>31</v>
      </c>
      <c r="F543" s="5"/>
      <c r="G543" s="5"/>
    </row>
    <row r="544" spans="1:7" x14ac:dyDescent="0.25">
      <c r="A544" s="9" t="str">
        <f t="shared" si="27"/>
        <v>00 STATUS - PLAYING</v>
      </c>
      <c r="B544" t="s">
        <v>35</v>
      </c>
      <c r="C544" s="7" t="str">
        <f t="shared" si="28"/>
        <v>31</v>
      </c>
      <c r="D544" s="8" t="s">
        <v>109</v>
      </c>
      <c r="E544" s="7" t="str">
        <f t="shared" si="29"/>
        <v>10</v>
      </c>
      <c r="F544" s="5"/>
      <c r="G544" s="5"/>
    </row>
  </sheetData>
  <conditionalFormatting sqref="F5">
    <cfRule type="expression" dxfId="27" priority="19">
      <formula>NOT(EXACT(#REF!,1))</formula>
    </cfRule>
    <cfRule type="expression" dxfId="26" priority="20">
      <formula>EXACT(#REF!,1)</formula>
    </cfRule>
  </conditionalFormatting>
  <conditionalFormatting sqref="B2:B544">
    <cfRule type="expression" dxfId="25" priority="8">
      <formula>EXACT(MID(B2,4,2),"31")</formula>
    </cfRule>
    <cfRule type="expression" dxfId="24" priority="9">
      <formula>EXACT(MID(B2,4,2),"30")</formula>
    </cfRule>
    <cfRule type="expression" dxfId="23" priority="10">
      <formula>EXACT(MID(B2,4,2),"10")</formula>
    </cfRule>
    <cfRule type="expression" dxfId="22" priority="11">
      <formula>EXACT(MID(B2,4,2),"11")</formula>
    </cfRule>
  </conditionalFormatting>
  <conditionalFormatting sqref="A2:A544">
    <cfRule type="expression" dxfId="21" priority="3">
      <formula>AND(EXACT($A$1,"01"),EXACT(MID(B2,7,5),"01 02"))</formula>
    </cfRule>
    <cfRule type="expression" dxfId="20" priority="4">
      <formula>AND(EXACT($A$1,"01"),EXACT(MID(B2,7,5),"01 00"))</formula>
    </cfRule>
    <cfRule type="expression" dxfId="19" priority="5">
      <formula>EXACT(UPPER($A$1),UPPER(MID(B2,7,2)))</formula>
    </cfRule>
  </conditionalFormatting>
  <conditionalFormatting sqref="C2:C544 E2:E544">
    <cfRule type="expression" dxfId="18" priority="2">
      <formula>GESTEP(HEX2DEC($E2),70)</formula>
    </cfRule>
  </conditionalFormatting>
  <conditionalFormatting sqref="D2:D544">
    <cfRule type="expression" dxfId="17" priority="1">
      <formula>GESTEP(HEX2DEC($E2),70)</formula>
    </cfRule>
  </conditionalFormatting>
  <conditionalFormatting sqref="B11:B49">
    <cfRule type="expression" dxfId="16" priority="57">
      <formula>EXACT(#REF!,1)</formula>
    </cfRule>
    <cfRule type="expression" dxfId="15" priority="58">
      <formula>NOT(EXACT(#REF!,1))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fresh_button_Click">
                <anchor mov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752475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A1:L172"/>
  <sheetViews>
    <sheetView tabSelected="1" workbookViewId="0"/>
  </sheetViews>
  <sheetFormatPr baseColWidth="10" defaultRowHeight="15" x14ac:dyDescent="0.25"/>
  <cols>
    <col min="1" max="1" width="80.7109375" customWidth="1"/>
    <col min="2" max="2" width="38.7109375" customWidth="1"/>
    <col min="3" max="5" width="3.7109375" customWidth="1"/>
    <col min="6" max="6" width="11.42578125" customWidth="1"/>
    <col min="7" max="7" width="20.7109375" customWidth="1"/>
    <col min="8" max="8" width="6.7109375" customWidth="1"/>
  </cols>
  <sheetData>
    <row r="1" spans="1:12" x14ac:dyDescent="0.25">
      <c r="A1" s="11" t="s">
        <v>242</v>
      </c>
      <c r="B1" s="10" t="s">
        <v>184</v>
      </c>
      <c r="C1" t="s">
        <v>185</v>
      </c>
      <c r="E1" t="s">
        <v>186</v>
      </c>
      <c r="G1" s="19" t="s">
        <v>315</v>
      </c>
      <c r="H1" s="19"/>
      <c r="I1" s="19"/>
      <c r="J1" s="18"/>
      <c r="K1" s="18"/>
      <c r="L1" s="18"/>
    </row>
    <row r="2" spans="1:12" x14ac:dyDescent="0.25">
      <c r="A2" s="9" t="str">
        <f>ParseUnilink(B2)</f>
        <v>01 MASTER REQUEST - BUS RESET</v>
      </c>
      <c r="B2" t="s">
        <v>110</v>
      </c>
      <c r="C2" s="7" t="str">
        <f t="shared" ref="C2:C15" si="0">MID(B2,4,2)</f>
        <v>10</v>
      </c>
      <c r="D2" s="8" t="s">
        <v>109</v>
      </c>
      <c r="E2" s="7" t="str">
        <f t="shared" ref="E2:E15" si="1">MID(B2,1,2)</f>
        <v>18</v>
      </c>
      <c r="G2" s="19" t="s">
        <v>108</v>
      </c>
      <c r="H2" s="18"/>
      <c r="I2" s="18"/>
      <c r="J2" s="18"/>
      <c r="K2" s="18"/>
      <c r="L2" s="18"/>
    </row>
    <row r="3" spans="1:12" x14ac:dyDescent="0.25">
      <c r="A3" s="9" t="str">
        <f t="shared" ref="A3:A66" si="2">ParseUnilink(B3)</f>
        <v>01 MASTER REQUEST - ANYONE?</v>
      </c>
      <c r="B3" t="s">
        <v>111</v>
      </c>
      <c r="C3" s="7" t="str">
        <f t="shared" si="0"/>
        <v>10</v>
      </c>
      <c r="D3" s="8" t="s">
        <v>109</v>
      </c>
      <c r="E3" s="7" t="str">
        <f t="shared" si="1"/>
        <v>18</v>
      </c>
    </row>
    <row r="4" spans="1:12" ht="15.75" thickBot="1" x14ac:dyDescent="0.3">
      <c r="A4" s="9" t="str">
        <f t="shared" si="2"/>
        <v>8C DEVICE INFO</v>
      </c>
      <c r="B4" t="s">
        <v>112</v>
      </c>
      <c r="C4" s="7" t="str">
        <f t="shared" si="0"/>
        <v>30</v>
      </c>
      <c r="D4" s="8" t="s">
        <v>109</v>
      </c>
      <c r="E4" s="7" t="str">
        <f t="shared" si="1"/>
        <v>10</v>
      </c>
    </row>
    <row r="5" spans="1:12" ht="15.75" thickBot="1" x14ac:dyDescent="0.3">
      <c r="A5" s="9" t="str">
        <f t="shared" si="2"/>
        <v>02 CONFIG FROM MASTER - TELL SLAVE ABOUT ASSIGNED ID</v>
      </c>
      <c r="B5" t="s">
        <v>113</v>
      </c>
      <c r="C5" s="7" t="str">
        <f t="shared" si="0"/>
        <v>10</v>
      </c>
      <c r="D5" s="8" t="s">
        <v>109</v>
      </c>
      <c r="E5" s="7" t="str">
        <f t="shared" si="1"/>
        <v>31</v>
      </c>
      <c r="G5" s="12" t="s">
        <v>314</v>
      </c>
      <c r="H5" s="13" t="s">
        <v>313</v>
      </c>
    </row>
    <row r="6" spans="1:12" x14ac:dyDescent="0.25">
      <c r="A6" s="9" t="str">
        <f t="shared" si="2"/>
        <v>8C DEVICE INFO</v>
      </c>
      <c r="B6" t="s">
        <v>114</v>
      </c>
      <c r="C6" s="7" t="str">
        <f t="shared" si="0"/>
        <v>31</v>
      </c>
      <c r="D6" s="8" t="s">
        <v>109</v>
      </c>
      <c r="E6" s="7" t="str">
        <f t="shared" si="1"/>
        <v>10</v>
      </c>
      <c r="G6" s="16" t="s">
        <v>243</v>
      </c>
      <c r="H6" s="14" t="s">
        <v>148</v>
      </c>
    </row>
    <row r="7" spans="1:12" x14ac:dyDescent="0.25">
      <c r="A7" s="9" t="str">
        <f t="shared" si="2"/>
        <v>01 MASTER REQUEST - APPOINT END</v>
      </c>
      <c r="B7" t="s">
        <v>115</v>
      </c>
      <c r="C7" s="7" t="str">
        <f t="shared" si="0"/>
        <v>10</v>
      </c>
      <c r="D7" s="8" t="s">
        <v>109</v>
      </c>
      <c r="E7" s="7" t="str">
        <f t="shared" si="1"/>
        <v>18</v>
      </c>
      <c r="G7" s="16" t="s">
        <v>244</v>
      </c>
      <c r="H7" s="14" t="s">
        <v>148</v>
      </c>
    </row>
    <row r="8" spans="1:12" x14ac:dyDescent="0.25">
      <c r="A8" s="9" t="str">
        <f t="shared" si="2"/>
        <v>01 MASTER REQUEST - ???</v>
      </c>
      <c r="B8" t="s">
        <v>116</v>
      </c>
      <c r="C8" s="7" t="str">
        <f t="shared" si="0"/>
        <v>10</v>
      </c>
      <c r="D8" s="8" t="s">
        <v>109</v>
      </c>
      <c r="E8" s="7" t="str">
        <f t="shared" si="1"/>
        <v>18</v>
      </c>
      <c r="G8" s="16" t="s">
        <v>245</v>
      </c>
      <c r="H8" s="14" t="s">
        <v>148</v>
      </c>
    </row>
    <row r="9" spans="1:12" x14ac:dyDescent="0.25">
      <c r="A9" s="9" t="str">
        <f t="shared" si="2"/>
        <v>88 FROM MASTER TO GROUP ID AFTER ANYONE SPECIAL</v>
      </c>
      <c r="B9" t="s">
        <v>117</v>
      </c>
      <c r="C9" s="7" t="str">
        <f t="shared" si="0"/>
        <v>11</v>
      </c>
      <c r="D9" s="8" t="s">
        <v>109</v>
      </c>
      <c r="E9" s="7" t="str">
        <f t="shared" si="1"/>
        <v>31</v>
      </c>
      <c r="G9" s="16" t="s">
        <v>246</v>
      </c>
      <c r="H9" s="14" t="s">
        <v>242</v>
      </c>
    </row>
    <row r="10" spans="1:12" x14ac:dyDescent="0.25">
      <c r="A10" s="9" t="str">
        <f t="shared" si="2"/>
        <v>87 WAKE FROM IDLE?</v>
      </c>
      <c r="B10" t="s">
        <v>118</v>
      </c>
      <c r="C10" s="7" t="str">
        <f t="shared" si="0"/>
        <v>10</v>
      </c>
      <c r="D10" s="8" t="s">
        <v>109</v>
      </c>
      <c r="E10" s="7" t="str">
        <f t="shared" si="1"/>
        <v>18</v>
      </c>
      <c r="G10" s="16" t="s">
        <v>247</v>
      </c>
      <c r="H10" s="14" t="s">
        <v>287</v>
      </c>
    </row>
    <row r="11" spans="1:12" x14ac:dyDescent="0.25">
      <c r="A11" s="9" t="str">
        <f t="shared" si="2"/>
        <v>F0 SWITCH SOURCE FROM 51 TO 31</v>
      </c>
      <c r="B11" t="s">
        <v>119</v>
      </c>
      <c r="C11" s="7" t="str">
        <f t="shared" si="0"/>
        <v>10</v>
      </c>
      <c r="D11" s="8" t="s">
        <v>109</v>
      </c>
      <c r="E11" s="7" t="str">
        <f t="shared" si="1"/>
        <v>18</v>
      </c>
      <c r="G11" s="16" t="s">
        <v>248</v>
      </c>
      <c r="H11" s="14" t="s">
        <v>287</v>
      </c>
    </row>
    <row r="12" spans="1:12" x14ac:dyDescent="0.25">
      <c r="A12" s="9" t="str">
        <f t="shared" si="2"/>
        <v>21 SWITCH TO CD?</v>
      </c>
      <c r="B12" t="s">
        <v>120</v>
      </c>
      <c r="C12" s="7" t="str">
        <f t="shared" si="0"/>
        <v>11</v>
      </c>
      <c r="D12" s="8" t="s">
        <v>109</v>
      </c>
      <c r="E12" s="7" t="str">
        <f t="shared" si="1"/>
        <v>31</v>
      </c>
      <c r="G12" s="16" t="s">
        <v>249</v>
      </c>
      <c r="H12" s="14" t="s">
        <v>288</v>
      </c>
    </row>
    <row r="13" spans="1:12" x14ac:dyDescent="0.25">
      <c r="A13" s="9" t="str">
        <f t="shared" si="2"/>
        <v>20 PLAY (FROM MASTER)</v>
      </c>
      <c r="B13" t="s">
        <v>121</v>
      </c>
      <c r="C13" s="7" t="str">
        <f t="shared" si="0"/>
        <v>10</v>
      </c>
      <c r="D13" s="8" t="s">
        <v>109</v>
      </c>
      <c r="E13" s="7" t="str">
        <f t="shared" si="1"/>
        <v>31</v>
      </c>
      <c r="G13" s="16" t="s">
        <v>250</v>
      </c>
      <c r="H13" s="14" t="s">
        <v>289</v>
      </c>
    </row>
    <row r="14" spans="1:12" x14ac:dyDescent="0.25">
      <c r="A14" s="9" t="str">
        <f t="shared" si="2"/>
        <v>01 MASTER REQUEST - SLAVE POLL</v>
      </c>
      <c r="B14" t="s">
        <v>122</v>
      </c>
      <c r="C14" s="7" t="str">
        <f t="shared" si="0"/>
        <v>10</v>
      </c>
      <c r="D14" s="8" t="s">
        <v>109</v>
      </c>
      <c r="E14" s="7" t="str">
        <f t="shared" si="1"/>
        <v>31</v>
      </c>
      <c r="G14" s="16" t="s">
        <v>251</v>
      </c>
      <c r="H14" s="14" t="s">
        <v>290</v>
      </c>
    </row>
    <row r="15" spans="1:12" x14ac:dyDescent="0.25">
      <c r="A15" s="9" t="str">
        <f t="shared" si="2"/>
        <v>01 MASTER REQUEST - SLAVE POLL</v>
      </c>
      <c r="B15" t="s">
        <v>122</v>
      </c>
      <c r="C15" s="7" t="str">
        <f t="shared" si="0"/>
        <v>10</v>
      </c>
      <c r="D15" s="8" t="s">
        <v>109</v>
      </c>
      <c r="E15" s="7" t="str">
        <f t="shared" si="1"/>
        <v>31</v>
      </c>
      <c r="G15" s="16" t="s">
        <v>252</v>
      </c>
      <c r="H15" s="14" t="s">
        <v>291</v>
      </c>
    </row>
    <row r="16" spans="1:12" x14ac:dyDescent="0.25">
      <c r="A16" s="9" t="str">
        <f t="shared" si="2"/>
        <v>9C AFTER DISC CHANGE TO MASTER - Disc number: 1</v>
      </c>
      <c r="B16" t="s">
        <v>123</v>
      </c>
      <c r="C16" s="7" t="str">
        <f t="shared" ref="C16:C30" si="3">MID(B16,4,2)</f>
        <v>31</v>
      </c>
      <c r="D16" s="8" t="s">
        <v>109</v>
      </c>
      <c r="E16" s="7" t="str">
        <f t="shared" ref="E16:E30" si="4">MID(B16,1,2)</f>
        <v>90</v>
      </c>
      <c r="G16" s="16" t="s">
        <v>253</v>
      </c>
      <c r="H16" s="14" t="s">
        <v>292</v>
      </c>
    </row>
    <row r="17" spans="1:8" x14ac:dyDescent="0.25">
      <c r="A17" s="9" t="str">
        <f t="shared" si="2"/>
        <v>01 MASTER REQUEST - SLAVE POLL</v>
      </c>
      <c r="B17" t="s">
        <v>122</v>
      </c>
      <c r="C17" s="7" t="str">
        <f t="shared" si="3"/>
        <v>10</v>
      </c>
      <c r="D17" s="8" t="s">
        <v>109</v>
      </c>
      <c r="E17" s="7" t="str">
        <f t="shared" si="4"/>
        <v>31</v>
      </c>
      <c r="G17" s="16" t="s">
        <v>254</v>
      </c>
      <c r="H17" s="14" t="s">
        <v>293</v>
      </c>
    </row>
    <row r="18" spans="1:8" x14ac:dyDescent="0.25">
      <c r="A18" s="9" t="str">
        <f t="shared" si="2"/>
        <v>01 MASTER REQUEST - SLAVE POLL</v>
      </c>
      <c r="B18" t="s">
        <v>122</v>
      </c>
      <c r="C18" s="7" t="str">
        <f t="shared" si="3"/>
        <v>10</v>
      </c>
      <c r="D18" s="8" t="s">
        <v>109</v>
      </c>
      <c r="E18" s="7" t="str">
        <f t="shared" si="4"/>
        <v>31</v>
      </c>
      <c r="G18" s="16" t="s">
        <v>255</v>
      </c>
      <c r="H18" s="14" t="s">
        <v>294</v>
      </c>
    </row>
    <row r="19" spans="1:8" x14ac:dyDescent="0.25">
      <c r="A19" s="9" t="str">
        <f t="shared" si="2"/>
        <v>00 STATUS - CHANGED CD</v>
      </c>
      <c r="B19" t="s">
        <v>124</v>
      </c>
      <c r="C19" s="7" t="str">
        <f t="shared" si="3"/>
        <v>31</v>
      </c>
      <c r="D19" s="8" t="s">
        <v>109</v>
      </c>
      <c r="E19" s="7" t="str">
        <f t="shared" si="4"/>
        <v>10</v>
      </c>
      <c r="G19" s="16" t="s">
        <v>256</v>
      </c>
      <c r="H19" s="14" t="s">
        <v>295</v>
      </c>
    </row>
    <row r="20" spans="1:8" x14ac:dyDescent="0.25">
      <c r="A20" s="9" t="str">
        <f t="shared" si="2"/>
        <v>84 REQUEST MORE TEXT FIELDS - SEND MAGAZINE INFO</v>
      </c>
      <c r="B20" t="s">
        <v>125</v>
      </c>
      <c r="C20" s="7" t="str">
        <f t="shared" si="3"/>
        <v>10</v>
      </c>
      <c r="D20" s="8" t="s">
        <v>109</v>
      </c>
      <c r="E20" s="7" t="str">
        <f t="shared" si="4"/>
        <v>31</v>
      </c>
      <c r="G20" s="16" t="s">
        <v>257</v>
      </c>
      <c r="H20" s="14" t="s">
        <v>296</v>
      </c>
    </row>
    <row r="21" spans="1:8" x14ac:dyDescent="0.25">
      <c r="A21" s="9" t="str">
        <f t="shared" si="2"/>
        <v>01 MASTER REQUEST - TIME POLL</v>
      </c>
      <c r="B21" t="s">
        <v>126</v>
      </c>
      <c r="C21" s="7" t="str">
        <f t="shared" si="3"/>
        <v>10</v>
      </c>
      <c r="D21" s="8" t="s">
        <v>109</v>
      </c>
      <c r="E21" s="7" t="str">
        <f t="shared" si="4"/>
        <v>31</v>
      </c>
      <c r="G21" s="16" t="s">
        <v>258</v>
      </c>
      <c r="H21" s="14" t="s">
        <v>297</v>
      </c>
    </row>
    <row r="22" spans="1:8" x14ac:dyDescent="0.25">
      <c r="A22" s="9" t="str">
        <f t="shared" si="2"/>
        <v>00 STATUS - CHANGED CD</v>
      </c>
      <c r="B22" t="s">
        <v>124</v>
      </c>
      <c r="C22" s="7" t="str">
        <f t="shared" si="3"/>
        <v>31</v>
      </c>
      <c r="D22" s="8" t="s">
        <v>109</v>
      </c>
      <c r="E22" s="7" t="str">
        <f t="shared" si="4"/>
        <v>10</v>
      </c>
      <c r="G22" s="16" t="s">
        <v>259</v>
      </c>
      <c r="H22" s="14" t="s">
        <v>298</v>
      </c>
    </row>
    <row r="23" spans="1:8" x14ac:dyDescent="0.25">
      <c r="A23" s="9" t="str">
        <f t="shared" si="2"/>
        <v>84 REQUEST MORE TEXT FIELDS - SEND DISC INFO</v>
      </c>
      <c r="B23" t="s">
        <v>127</v>
      </c>
      <c r="C23" s="7" t="str">
        <f t="shared" si="3"/>
        <v>10</v>
      </c>
      <c r="D23" s="8" t="s">
        <v>109</v>
      </c>
      <c r="E23" s="7" t="str">
        <f t="shared" si="4"/>
        <v>31</v>
      </c>
      <c r="G23" s="16" t="s">
        <v>260</v>
      </c>
      <c r="H23" s="14" t="s">
        <v>299</v>
      </c>
    </row>
    <row r="24" spans="1:8" x14ac:dyDescent="0.25">
      <c r="A24" s="9" t="str">
        <f t="shared" si="2"/>
        <v>01 MASTER REQUEST - SLAVE POLL</v>
      </c>
      <c r="B24" t="s">
        <v>122</v>
      </c>
      <c r="C24" s="7" t="str">
        <f t="shared" si="3"/>
        <v>10</v>
      </c>
      <c r="D24" s="8" t="s">
        <v>109</v>
      </c>
      <c r="E24" s="7" t="str">
        <f t="shared" si="4"/>
        <v>31</v>
      </c>
      <c r="G24" s="16" t="s">
        <v>261</v>
      </c>
      <c r="H24" s="14" t="s">
        <v>300</v>
      </c>
    </row>
    <row r="25" spans="1:8" x14ac:dyDescent="0.25">
      <c r="A25" s="9" t="str">
        <f t="shared" si="2"/>
        <v>95 MAGAZINE INFO - CD1 YES, CD2 YES, CD3 NO, CD4 NO, CD5 NO, CD6 NO</v>
      </c>
      <c r="B25" t="s">
        <v>128</v>
      </c>
      <c r="C25" s="7" t="str">
        <f t="shared" si="3"/>
        <v>31</v>
      </c>
      <c r="D25" s="8" t="s">
        <v>109</v>
      </c>
      <c r="E25" s="7" t="str">
        <f t="shared" si="4"/>
        <v>10</v>
      </c>
      <c r="G25" s="16" t="s">
        <v>262</v>
      </c>
      <c r="H25" s="14" t="s">
        <v>301</v>
      </c>
    </row>
    <row r="26" spans="1:8" x14ac:dyDescent="0.25">
      <c r="A26" s="9" t="str">
        <f t="shared" si="2"/>
        <v>01 MASTER REQUEST - SLAVE POLL</v>
      </c>
      <c r="B26" t="s">
        <v>122</v>
      </c>
      <c r="C26" s="7" t="str">
        <f t="shared" si="3"/>
        <v>10</v>
      </c>
      <c r="D26" s="8" t="s">
        <v>109</v>
      </c>
      <c r="E26" s="7" t="str">
        <f t="shared" si="4"/>
        <v>31</v>
      </c>
      <c r="G26" s="16" t="s">
        <v>263</v>
      </c>
      <c r="H26" s="14" t="s">
        <v>302</v>
      </c>
    </row>
    <row r="27" spans="1:8" x14ac:dyDescent="0.25">
      <c r="A27" s="9" t="str">
        <f t="shared" si="2"/>
        <v>97 DISC INFO - TRACKS: 20, MINS: 46, SECS: 46, DISC: 1</v>
      </c>
      <c r="B27" t="s">
        <v>129</v>
      </c>
      <c r="C27" s="7" t="str">
        <f t="shared" si="3"/>
        <v>31</v>
      </c>
      <c r="D27" s="8" t="s">
        <v>109</v>
      </c>
      <c r="E27" s="7" t="str">
        <f t="shared" si="4"/>
        <v>10</v>
      </c>
      <c r="G27" s="16" t="s">
        <v>264</v>
      </c>
      <c r="H27" s="14" t="s">
        <v>303</v>
      </c>
    </row>
    <row r="28" spans="1:8" x14ac:dyDescent="0.25">
      <c r="A28" s="9" t="str">
        <f t="shared" si="2"/>
        <v>87 GO IDLE?</v>
      </c>
      <c r="B28" t="s">
        <v>130</v>
      </c>
      <c r="C28" s="7" t="str">
        <f t="shared" si="3"/>
        <v>10</v>
      </c>
      <c r="D28" s="8" t="s">
        <v>109</v>
      </c>
      <c r="E28" s="7" t="str">
        <f t="shared" si="4"/>
        <v>18</v>
      </c>
      <c r="G28" s="16" t="s">
        <v>265</v>
      </c>
      <c r="H28" s="14" t="s">
        <v>304</v>
      </c>
    </row>
    <row r="29" spans="1:8" x14ac:dyDescent="0.25">
      <c r="A29" s="9" t="str">
        <f t="shared" si="2"/>
        <v>08 KEY RELEASED</v>
      </c>
      <c r="B29" t="s">
        <v>131</v>
      </c>
      <c r="C29" s="7" t="str">
        <f t="shared" si="3"/>
        <v>11</v>
      </c>
      <c r="D29" s="8" t="s">
        <v>109</v>
      </c>
      <c r="E29" s="7" t="str">
        <f t="shared" si="4"/>
        <v>18</v>
      </c>
      <c r="G29" s="16" t="s">
        <v>266</v>
      </c>
      <c r="H29" s="14" t="s">
        <v>305</v>
      </c>
    </row>
    <row r="30" spans="1:8" x14ac:dyDescent="0.25">
      <c r="A30" s="9" t="str">
        <f t="shared" si="2"/>
        <v>01 MASTER REQUEST - TIME POLL</v>
      </c>
      <c r="B30" t="s">
        <v>126</v>
      </c>
      <c r="C30" s="7" t="str">
        <f t="shared" si="3"/>
        <v>10</v>
      </c>
      <c r="D30" s="8" t="s">
        <v>109</v>
      </c>
      <c r="E30" s="7" t="str">
        <f t="shared" si="4"/>
        <v>31</v>
      </c>
      <c r="G30" s="16" t="s">
        <v>267</v>
      </c>
      <c r="H30" s="14" t="s">
        <v>306</v>
      </c>
    </row>
    <row r="31" spans="1:8" x14ac:dyDescent="0.25">
      <c r="A31" s="9" t="str">
        <f t="shared" si="2"/>
        <v>00 STATUS - IDLE</v>
      </c>
      <c r="B31" t="s">
        <v>132</v>
      </c>
      <c r="C31" s="7" t="str">
        <f t="shared" ref="C31:C94" si="5">MID(B31,4,2)</f>
        <v>31</v>
      </c>
      <c r="D31" s="8" t="s">
        <v>109</v>
      </c>
      <c r="E31" s="7" t="str">
        <f t="shared" ref="E31:E94" si="6">MID(B31,1,2)</f>
        <v>10</v>
      </c>
      <c r="G31" s="16" t="s">
        <v>268</v>
      </c>
      <c r="H31" s="14" t="s">
        <v>307</v>
      </c>
    </row>
    <row r="32" spans="1:8" x14ac:dyDescent="0.25">
      <c r="A32" s="9" t="str">
        <f t="shared" si="2"/>
        <v>84 REQUEST MORE TEXT FIELDS - SEND DISC INFO</v>
      </c>
      <c r="B32" t="s">
        <v>127</v>
      </c>
      <c r="C32" s="7" t="str">
        <f t="shared" si="5"/>
        <v>10</v>
      </c>
      <c r="D32" s="8" t="s">
        <v>109</v>
      </c>
      <c r="E32" s="7" t="str">
        <f t="shared" si="6"/>
        <v>31</v>
      </c>
      <c r="G32" s="16" t="s">
        <v>269</v>
      </c>
      <c r="H32" s="14" t="s">
        <v>270</v>
      </c>
    </row>
    <row r="33" spans="1:8" x14ac:dyDescent="0.25">
      <c r="A33" s="9" t="str">
        <f t="shared" si="2"/>
        <v>01 MASTER REQUEST - SLAVE POLL</v>
      </c>
      <c r="B33" t="s">
        <v>122</v>
      </c>
      <c r="C33" s="7" t="str">
        <f t="shared" si="5"/>
        <v>10</v>
      </c>
      <c r="D33" s="8" t="s">
        <v>109</v>
      </c>
      <c r="E33" s="7" t="str">
        <f t="shared" si="6"/>
        <v>31</v>
      </c>
      <c r="G33" s="16" t="s">
        <v>271</v>
      </c>
      <c r="H33" s="14" t="s">
        <v>272</v>
      </c>
    </row>
    <row r="34" spans="1:8" x14ac:dyDescent="0.25">
      <c r="A34" s="9" t="str">
        <f t="shared" si="2"/>
        <v>95 MAGAZINE INFO - CD1 YES, CD2 YES, CD3 NO, CD4 NO, CD5 NO, CD6 NO</v>
      </c>
      <c r="B34" t="s">
        <v>128</v>
      </c>
      <c r="C34" s="7" t="str">
        <f t="shared" si="5"/>
        <v>31</v>
      </c>
      <c r="D34" s="8" t="s">
        <v>109</v>
      </c>
      <c r="E34" s="7" t="str">
        <f t="shared" si="6"/>
        <v>10</v>
      </c>
      <c r="G34" s="16" t="s">
        <v>273</v>
      </c>
      <c r="H34" s="14" t="s">
        <v>308</v>
      </c>
    </row>
    <row r="35" spans="1:8" x14ac:dyDescent="0.25">
      <c r="A35" s="9" t="str">
        <f t="shared" si="2"/>
        <v>01 MASTER REQUEST - SLAVE POLL</v>
      </c>
      <c r="B35" t="s">
        <v>122</v>
      </c>
      <c r="C35" s="7" t="str">
        <f t="shared" si="5"/>
        <v>10</v>
      </c>
      <c r="D35" s="8" t="s">
        <v>109</v>
      </c>
      <c r="E35" s="7" t="str">
        <f t="shared" si="6"/>
        <v>31</v>
      </c>
      <c r="G35" s="16" t="s">
        <v>274</v>
      </c>
      <c r="H35" s="14" t="s">
        <v>309</v>
      </c>
    </row>
    <row r="36" spans="1:8" x14ac:dyDescent="0.25">
      <c r="A36" s="9" t="str">
        <f t="shared" si="2"/>
        <v>97 DISC INFO - TRACKS: 20, MINS: 46, SECS: 46, DISC: 1</v>
      </c>
      <c r="B36" t="s">
        <v>129</v>
      </c>
      <c r="C36" s="7" t="str">
        <f t="shared" si="5"/>
        <v>31</v>
      </c>
      <c r="D36" s="8" t="s">
        <v>109</v>
      </c>
      <c r="E36" s="7" t="str">
        <f t="shared" si="6"/>
        <v>10</v>
      </c>
      <c r="G36" s="16" t="s">
        <v>275</v>
      </c>
      <c r="H36" s="14" t="s">
        <v>310</v>
      </c>
    </row>
    <row r="37" spans="1:8" x14ac:dyDescent="0.25">
      <c r="A37" s="9" t="str">
        <f t="shared" si="2"/>
        <v>84 REQUEST MORE TEXT FIELDS - SEND MAGAZINE INFO</v>
      </c>
      <c r="B37" t="s">
        <v>125</v>
      </c>
      <c r="C37" s="7" t="str">
        <f t="shared" si="5"/>
        <v>10</v>
      </c>
      <c r="D37" s="8" t="s">
        <v>109</v>
      </c>
      <c r="E37" s="7" t="str">
        <f t="shared" si="6"/>
        <v>31</v>
      </c>
      <c r="G37" s="16" t="s">
        <v>276</v>
      </c>
      <c r="H37" s="14" t="s">
        <v>311</v>
      </c>
    </row>
    <row r="38" spans="1:8" x14ac:dyDescent="0.25">
      <c r="A38" s="9" t="str">
        <f t="shared" si="2"/>
        <v>01 MASTER REQUEST - TIME POLL</v>
      </c>
      <c r="B38" t="s">
        <v>126</v>
      </c>
      <c r="C38" s="7" t="str">
        <f t="shared" si="5"/>
        <v>10</v>
      </c>
      <c r="D38" s="8" t="s">
        <v>109</v>
      </c>
      <c r="E38" s="7" t="str">
        <f t="shared" si="6"/>
        <v>31</v>
      </c>
      <c r="G38" s="16" t="s">
        <v>277</v>
      </c>
      <c r="H38" s="14" t="s">
        <v>278</v>
      </c>
    </row>
    <row r="39" spans="1:8" x14ac:dyDescent="0.25">
      <c r="A39" s="9" t="str">
        <f t="shared" si="2"/>
        <v>00 STATUS - IDLE</v>
      </c>
      <c r="B39" t="s">
        <v>132</v>
      </c>
      <c r="C39" s="7" t="str">
        <f t="shared" si="5"/>
        <v>31</v>
      </c>
      <c r="D39" s="8" t="s">
        <v>109</v>
      </c>
      <c r="E39" s="7" t="str">
        <f t="shared" si="6"/>
        <v>10</v>
      </c>
      <c r="G39" s="16" t="s">
        <v>279</v>
      </c>
      <c r="H39" s="14" t="s">
        <v>312</v>
      </c>
    </row>
    <row r="40" spans="1:8" x14ac:dyDescent="0.25">
      <c r="A40" s="9" t="str">
        <f t="shared" si="2"/>
        <v>84 REQUEST MORE TEXT FIELDS - SEND DISC INFO</v>
      </c>
      <c r="B40" t="s">
        <v>127</v>
      </c>
      <c r="C40" s="7" t="str">
        <f t="shared" si="5"/>
        <v>10</v>
      </c>
      <c r="D40" s="8" t="s">
        <v>109</v>
      </c>
      <c r="E40" s="7" t="str">
        <f t="shared" si="6"/>
        <v>31</v>
      </c>
      <c r="G40" s="16" t="s">
        <v>280</v>
      </c>
      <c r="H40" s="14" t="s">
        <v>188</v>
      </c>
    </row>
    <row r="41" spans="1:8" x14ac:dyDescent="0.25">
      <c r="A41" s="9" t="str">
        <f t="shared" si="2"/>
        <v>01 MASTER REQUEST - SLAVE POLL</v>
      </c>
      <c r="B41" t="s">
        <v>122</v>
      </c>
      <c r="C41" s="7" t="str">
        <f t="shared" si="5"/>
        <v>10</v>
      </c>
      <c r="D41" s="8" t="s">
        <v>109</v>
      </c>
      <c r="E41" s="7" t="str">
        <f t="shared" si="6"/>
        <v>31</v>
      </c>
      <c r="G41" s="16" t="s">
        <v>281</v>
      </c>
      <c r="H41" s="14" t="s">
        <v>282</v>
      </c>
    </row>
    <row r="42" spans="1:8" x14ac:dyDescent="0.25">
      <c r="A42" s="9" t="str">
        <f t="shared" si="2"/>
        <v>95 MAGAZINE INFO - CD1 YES, CD2 YES, CD3 NO, CD4 NO, CD5 NO, CD6 NO</v>
      </c>
      <c r="B42" t="s">
        <v>128</v>
      </c>
      <c r="C42" s="7" t="str">
        <f t="shared" si="5"/>
        <v>31</v>
      </c>
      <c r="D42" s="8" t="s">
        <v>109</v>
      </c>
      <c r="E42" s="7" t="str">
        <f t="shared" si="6"/>
        <v>10</v>
      </c>
      <c r="G42" s="16" t="s">
        <v>283</v>
      </c>
      <c r="H42" s="14" t="s">
        <v>284</v>
      </c>
    </row>
    <row r="43" spans="1:8" ht="15.75" thickBot="1" x14ac:dyDescent="0.3">
      <c r="A43" s="9" t="str">
        <f t="shared" si="2"/>
        <v>01 MASTER REQUEST - SLAVE POLL</v>
      </c>
      <c r="B43" t="s">
        <v>122</v>
      </c>
      <c r="C43" s="7" t="str">
        <f t="shared" si="5"/>
        <v>10</v>
      </c>
      <c r="D43" s="8" t="s">
        <v>109</v>
      </c>
      <c r="E43" s="7" t="str">
        <f t="shared" si="6"/>
        <v>31</v>
      </c>
      <c r="G43" s="17" t="s">
        <v>285</v>
      </c>
      <c r="H43" s="15" t="s">
        <v>286</v>
      </c>
    </row>
    <row r="44" spans="1:8" x14ac:dyDescent="0.25">
      <c r="A44" s="9" t="str">
        <f t="shared" si="2"/>
        <v>97 DISC INFO - TRACKS: 20, MINS: 46, SECS: 46, DISC: 1</v>
      </c>
      <c r="B44" t="s">
        <v>129</v>
      </c>
      <c r="C44" s="7" t="str">
        <f t="shared" si="5"/>
        <v>31</v>
      </c>
      <c r="D44" s="8" t="s">
        <v>109</v>
      </c>
      <c r="E44" s="7" t="str">
        <f t="shared" si="6"/>
        <v>10</v>
      </c>
    </row>
    <row r="45" spans="1:8" x14ac:dyDescent="0.25">
      <c r="A45" s="9" t="str">
        <f t="shared" si="2"/>
        <v>01 MASTER REQUEST - SLAVE POLL</v>
      </c>
      <c r="B45" t="s">
        <v>122</v>
      </c>
      <c r="C45" s="7" t="str">
        <f t="shared" si="5"/>
        <v>10</v>
      </c>
      <c r="D45" s="8" t="s">
        <v>109</v>
      </c>
      <c r="E45" s="7" t="str">
        <f t="shared" si="6"/>
        <v>31</v>
      </c>
    </row>
    <row r="46" spans="1:8" x14ac:dyDescent="0.25">
      <c r="A46" s="9" t="str">
        <f t="shared" si="2"/>
        <v>00 STATUS - IDLE</v>
      </c>
      <c r="B46" t="s">
        <v>132</v>
      </c>
      <c r="C46" s="7" t="str">
        <f t="shared" si="5"/>
        <v>31</v>
      </c>
      <c r="D46" s="8" t="s">
        <v>109</v>
      </c>
      <c r="E46" s="7" t="str">
        <f t="shared" si="6"/>
        <v>10</v>
      </c>
    </row>
    <row r="47" spans="1:8" x14ac:dyDescent="0.25">
      <c r="A47" s="9" t="str">
        <f t="shared" si="2"/>
        <v>84 REQUEST MORE TEXT FIELDS - SEND MAGAZINE INFO</v>
      </c>
      <c r="B47" t="s">
        <v>125</v>
      </c>
      <c r="C47" s="7" t="str">
        <f t="shared" si="5"/>
        <v>10</v>
      </c>
      <c r="D47" s="8" t="s">
        <v>109</v>
      </c>
      <c r="E47" s="7" t="str">
        <f t="shared" si="6"/>
        <v>31</v>
      </c>
    </row>
    <row r="48" spans="1:8" x14ac:dyDescent="0.25">
      <c r="A48" s="9" t="str">
        <f t="shared" si="2"/>
        <v>01 MASTER REQUEST - TIME POLL</v>
      </c>
      <c r="B48" t="s">
        <v>126</v>
      </c>
      <c r="C48" s="7" t="str">
        <f t="shared" si="5"/>
        <v>10</v>
      </c>
      <c r="D48" s="8" t="s">
        <v>109</v>
      </c>
      <c r="E48" s="7" t="str">
        <f t="shared" si="6"/>
        <v>31</v>
      </c>
    </row>
    <row r="49" spans="1:8" x14ac:dyDescent="0.25">
      <c r="A49" s="9" t="str">
        <f t="shared" si="2"/>
        <v>00 STATUS - IDLE</v>
      </c>
      <c r="B49" t="s">
        <v>132</v>
      </c>
      <c r="C49" s="7" t="str">
        <f t="shared" si="5"/>
        <v>31</v>
      </c>
      <c r="D49" s="8" t="s">
        <v>109</v>
      </c>
      <c r="E49" s="7" t="str">
        <f t="shared" si="6"/>
        <v>10</v>
      </c>
    </row>
    <row r="50" spans="1:8" x14ac:dyDescent="0.25">
      <c r="A50" s="9" t="str">
        <f t="shared" si="2"/>
        <v>84 REQUEST MORE TEXT FIELDS - SEND DISC INFO</v>
      </c>
      <c r="B50" t="s">
        <v>127</v>
      </c>
      <c r="C50" s="7" t="str">
        <f t="shared" si="5"/>
        <v>10</v>
      </c>
      <c r="D50" s="8" t="s">
        <v>109</v>
      </c>
      <c r="E50" s="7" t="str">
        <f t="shared" si="6"/>
        <v>31</v>
      </c>
    </row>
    <row r="51" spans="1:8" x14ac:dyDescent="0.25">
      <c r="A51" s="9" t="str">
        <f t="shared" si="2"/>
        <v>01 MASTER REQUEST - SLAVE POLL</v>
      </c>
      <c r="B51" t="s">
        <v>122</v>
      </c>
      <c r="C51" s="7" t="str">
        <f t="shared" si="5"/>
        <v>10</v>
      </c>
      <c r="D51" s="8" t="s">
        <v>109</v>
      </c>
      <c r="E51" s="7" t="str">
        <f t="shared" si="6"/>
        <v>31</v>
      </c>
      <c r="G51" s="5"/>
      <c r="H51" s="5"/>
    </row>
    <row r="52" spans="1:8" x14ac:dyDescent="0.25">
      <c r="A52" s="9" t="str">
        <f t="shared" si="2"/>
        <v>95 MAGAZINE INFO - CD1 YES, CD2 YES, CD3 NO, CD4 NO, CD5 NO, CD6 NO</v>
      </c>
      <c r="B52" t="s">
        <v>128</v>
      </c>
      <c r="C52" s="7" t="str">
        <f t="shared" si="5"/>
        <v>31</v>
      </c>
      <c r="D52" s="8" t="s">
        <v>109</v>
      </c>
      <c r="E52" s="7" t="str">
        <f t="shared" si="6"/>
        <v>10</v>
      </c>
      <c r="G52" s="5"/>
      <c r="H52" s="5"/>
    </row>
    <row r="53" spans="1:8" x14ac:dyDescent="0.25">
      <c r="A53" s="9" t="str">
        <f t="shared" si="2"/>
        <v>01 MASTER REQUEST - SLAVE POLL</v>
      </c>
      <c r="B53" t="s">
        <v>122</v>
      </c>
      <c r="C53" s="7" t="str">
        <f t="shared" si="5"/>
        <v>10</v>
      </c>
      <c r="D53" s="8" t="s">
        <v>109</v>
      </c>
      <c r="E53" s="7" t="str">
        <f t="shared" si="6"/>
        <v>31</v>
      </c>
      <c r="G53" s="5"/>
      <c r="H53" s="5"/>
    </row>
    <row r="54" spans="1:8" x14ac:dyDescent="0.25">
      <c r="A54" s="9" t="str">
        <f t="shared" si="2"/>
        <v>97 DISC INFO - TRACKS: 20, MINS: 46, SECS: 46, DISC: 1</v>
      </c>
      <c r="B54" t="s">
        <v>129</v>
      </c>
      <c r="C54" s="7" t="str">
        <f t="shared" si="5"/>
        <v>31</v>
      </c>
      <c r="D54" s="8" t="s">
        <v>109</v>
      </c>
      <c r="E54" s="7" t="str">
        <f t="shared" si="6"/>
        <v>10</v>
      </c>
      <c r="G54" s="5"/>
      <c r="H54" s="5"/>
    </row>
    <row r="55" spans="1:8" x14ac:dyDescent="0.25">
      <c r="A55" s="9" t="str">
        <f t="shared" si="2"/>
        <v>84 REQUEST MORE TEXT FIELDS - SEND MAGAZINE INFO</v>
      </c>
      <c r="B55" t="s">
        <v>125</v>
      </c>
      <c r="C55" s="7" t="str">
        <f t="shared" si="5"/>
        <v>10</v>
      </c>
      <c r="D55" s="8" t="s">
        <v>109</v>
      </c>
      <c r="E55" s="7" t="str">
        <f t="shared" si="6"/>
        <v>31</v>
      </c>
      <c r="G55" s="5"/>
      <c r="H55" s="5"/>
    </row>
    <row r="56" spans="1:8" x14ac:dyDescent="0.25">
      <c r="A56" s="9" t="str">
        <f t="shared" si="2"/>
        <v>01 MASTER REQUEST - TIME POLL</v>
      </c>
      <c r="B56" t="s">
        <v>126</v>
      </c>
      <c r="C56" s="7" t="str">
        <f t="shared" si="5"/>
        <v>10</v>
      </c>
      <c r="D56" s="8" t="s">
        <v>109</v>
      </c>
      <c r="E56" s="7" t="str">
        <f t="shared" si="6"/>
        <v>31</v>
      </c>
      <c r="G56" s="5"/>
      <c r="H56" s="5"/>
    </row>
    <row r="57" spans="1:8" x14ac:dyDescent="0.25">
      <c r="A57" s="9" t="str">
        <f t="shared" si="2"/>
        <v>00 STATUS - IDLE</v>
      </c>
      <c r="B57" t="s">
        <v>132</v>
      </c>
      <c r="C57" s="7" t="str">
        <f t="shared" si="5"/>
        <v>31</v>
      </c>
      <c r="D57" s="8" t="s">
        <v>109</v>
      </c>
      <c r="E57" s="7" t="str">
        <f t="shared" si="6"/>
        <v>10</v>
      </c>
      <c r="G57" s="5"/>
      <c r="H57" s="5"/>
    </row>
    <row r="58" spans="1:8" x14ac:dyDescent="0.25">
      <c r="A58" s="9" t="str">
        <f t="shared" si="2"/>
        <v>84 REQUEST MORE TEXT FIELDS - SEND DISC INFO</v>
      </c>
      <c r="B58" t="s">
        <v>133</v>
      </c>
      <c r="C58" s="7" t="str">
        <f t="shared" si="5"/>
        <v>10</v>
      </c>
      <c r="D58" s="8" t="s">
        <v>109</v>
      </c>
      <c r="E58" s="7" t="str">
        <f t="shared" si="6"/>
        <v>31</v>
      </c>
      <c r="G58" s="5"/>
      <c r="H58" s="5"/>
    </row>
    <row r="59" spans="1:8" x14ac:dyDescent="0.25">
      <c r="A59" s="9" t="str">
        <f t="shared" si="2"/>
        <v>01 MASTER REQUEST - SLAVE POLL</v>
      </c>
      <c r="B59" t="s">
        <v>122</v>
      </c>
      <c r="C59" s="7" t="str">
        <f t="shared" si="5"/>
        <v>10</v>
      </c>
      <c r="D59" s="8" t="s">
        <v>109</v>
      </c>
      <c r="E59" s="7" t="str">
        <f t="shared" si="6"/>
        <v>31</v>
      </c>
      <c r="G59" s="5"/>
      <c r="H59" s="5"/>
    </row>
    <row r="60" spans="1:8" x14ac:dyDescent="0.25">
      <c r="A60" s="9" t="str">
        <f t="shared" si="2"/>
        <v>95 MAGAZINE INFO - CD1 YES, CD2 YES, CD3 NO, CD4 NO, CD5 NO, CD6 NO</v>
      </c>
      <c r="B60" t="s">
        <v>128</v>
      </c>
      <c r="C60" s="7" t="str">
        <f t="shared" si="5"/>
        <v>31</v>
      </c>
      <c r="D60" s="8" t="s">
        <v>109</v>
      </c>
      <c r="E60" s="7" t="str">
        <f t="shared" si="6"/>
        <v>10</v>
      </c>
      <c r="G60" s="5"/>
      <c r="H60" s="5"/>
    </row>
    <row r="61" spans="1:8" x14ac:dyDescent="0.25">
      <c r="A61" s="9" t="str">
        <f t="shared" si="2"/>
        <v>01 MASTER REQUEST - SLAVE POLL</v>
      </c>
      <c r="B61" t="s">
        <v>122</v>
      </c>
      <c r="C61" s="7" t="str">
        <f t="shared" si="5"/>
        <v>10</v>
      </c>
      <c r="D61" s="8" t="s">
        <v>109</v>
      </c>
      <c r="E61" s="7" t="str">
        <f t="shared" si="6"/>
        <v>31</v>
      </c>
      <c r="G61" s="5"/>
    </row>
    <row r="62" spans="1:8" x14ac:dyDescent="0.25">
      <c r="A62" s="9" t="str">
        <f t="shared" si="2"/>
        <v>97 DISC INFO - TRACKS: 20, MINS: 46, SECS: 46, DISC: 1</v>
      </c>
      <c r="B62" t="s">
        <v>129</v>
      </c>
      <c r="C62" s="7" t="str">
        <f t="shared" si="5"/>
        <v>31</v>
      </c>
      <c r="D62" s="8" t="s">
        <v>109</v>
      </c>
      <c r="E62" s="7" t="str">
        <f t="shared" si="6"/>
        <v>10</v>
      </c>
      <c r="G62" s="5"/>
    </row>
    <row r="63" spans="1:8" x14ac:dyDescent="0.25">
      <c r="A63" s="9" t="str">
        <f t="shared" si="2"/>
        <v>84 REQUEST MORE TEXT FIELDS - SEND MAGAZINE INFO</v>
      </c>
      <c r="B63" t="s">
        <v>125</v>
      </c>
      <c r="C63" s="7" t="str">
        <f t="shared" si="5"/>
        <v>10</v>
      </c>
      <c r="D63" s="8" t="s">
        <v>109</v>
      </c>
      <c r="E63" s="7" t="str">
        <f t="shared" si="6"/>
        <v>31</v>
      </c>
      <c r="G63" s="5"/>
    </row>
    <row r="64" spans="1:8" x14ac:dyDescent="0.25">
      <c r="A64" s="9" t="str">
        <f t="shared" si="2"/>
        <v>01 MASTER REQUEST - TIME POLL</v>
      </c>
      <c r="B64" t="s">
        <v>126</v>
      </c>
      <c r="C64" s="7" t="str">
        <f t="shared" si="5"/>
        <v>10</v>
      </c>
      <c r="D64" s="8" t="s">
        <v>109</v>
      </c>
      <c r="E64" s="7" t="str">
        <f t="shared" si="6"/>
        <v>31</v>
      </c>
      <c r="G64" s="5"/>
    </row>
    <row r="65" spans="1:7" x14ac:dyDescent="0.25">
      <c r="A65" s="9" t="str">
        <f t="shared" si="2"/>
        <v>00 STATUS - IDLE</v>
      </c>
      <c r="B65" t="s">
        <v>132</v>
      </c>
      <c r="C65" s="7" t="str">
        <f t="shared" si="5"/>
        <v>31</v>
      </c>
      <c r="D65" s="8" t="s">
        <v>109</v>
      </c>
      <c r="E65" s="7" t="str">
        <f t="shared" si="6"/>
        <v>10</v>
      </c>
      <c r="G65" s="5"/>
    </row>
    <row r="66" spans="1:7" x14ac:dyDescent="0.25">
      <c r="A66" s="9" t="str">
        <f t="shared" si="2"/>
        <v>84 REQUEST MORE TEXT FIELDS - SEND DISC INFO</v>
      </c>
      <c r="B66" t="s">
        <v>127</v>
      </c>
      <c r="C66" s="7" t="str">
        <f t="shared" si="5"/>
        <v>10</v>
      </c>
      <c r="D66" s="8" t="s">
        <v>109</v>
      </c>
      <c r="E66" s="7" t="str">
        <f t="shared" si="6"/>
        <v>31</v>
      </c>
      <c r="G66" s="5"/>
    </row>
    <row r="67" spans="1:7" x14ac:dyDescent="0.25">
      <c r="A67" s="9" t="str">
        <f t="shared" ref="A67:A130" si="7">ParseUnilink(B67)</f>
        <v>01 MASTER REQUEST - SLAVE POLL</v>
      </c>
      <c r="B67" t="s">
        <v>122</v>
      </c>
      <c r="C67" s="7" t="str">
        <f t="shared" si="5"/>
        <v>10</v>
      </c>
      <c r="D67" s="8" t="s">
        <v>109</v>
      </c>
      <c r="E67" s="7" t="str">
        <f t="shared" si="6"/>
        <v>31</v>
      </c>
      <c r="G67" s="5"/>
    </row>
    <row r="68" spans="1:7" x14ac:dyDescent="0.25">
      <c r="A68" s="9" t="str">
        <f t="shared" si="7"/>
        <v>95 MAGAZINE INFO - CD1 YES, CD2 YES, CD3 NO, CD4 NO, CD5 NO, CD6 NO</v>
      </c>
      <c r="B68" t="s">
        <v>128</v>
      </c>
      <c r="C68" s="7" t="str">
        <f t="shared" si="5"/>
        <v>31</v>
      </c>
      <c r="D68" s="8" t="s">
        <v>109</v>
      </c>
      <c r="E68" s="7" t="str">
        <f t="shared" si="6"/>
        <v>10</v>
      </c>
      <c r="G68" s="5"/>
    </row>
    <row r="69" spans="1:7" x14ac:dyDescent="0.25">
      <c r="A69" s="9" t="str">
        <f t="shared" si="7"/>
        <v>01 MASTER REQUEST - SLAVE POLL</v>
      </c>
      <c r="B69" t="s">
        <v>122</v>
      </c>
      <c r="C69" s="7" t="str">
        <f t="shared" si="5"/>
        <v>10</v>
      </c>
      <c r="D69" s="8" t="s">
        <v>109</v>
      </c>
      <c r="E69" s="7" t="str">
        <f t="shared" si="6"/>
        <v>31</v>
      </c>
      <c r="G69" s="5"/>
    </row>
    <row r="70" spans="1:7" x14ac:dyDescent="0.25">
      <c r="A70" s="9" t="str">
        <f t="shared" si="7"/>
        <v>97 DISC INFO - TRACKS: 20, MINS: 46, SECS: 46, DISC: 1</v>
      </c>
      <c r="B70" t="s">
        <v>129</v>
      </c>
      <c r="C70" s="7" t="str">
        <f t="shared" si="5"/>
        <v>31</v>
      </c>
      <c r="D70" s="8" t="s">
        <v>109</v>
      </c>
      <c r="E70" s="7" t="str">
        <f t="shared" si="6"/>
        <v>10</v>
      </c>
      <c r="G70" s="5"/>
    </row>
    <row r="71" spans="1:7" x14ac:dyDescent="0.25">
      <c r="A71" s="9" t="str">
        <f t="shared" si="7"/>
        <v>84 REQUEST MORE TEXT FIELDS - SEND MAGAZINE INFO</v>
      </c>
      <c r="B71" t="s">
        <v>125</v>
      </c>
      <c r="C71" s="7" t="str">
        <f t="shared" si="5"/>
        <v>10</v>
      </c>
      <c r="D71" s="8" t="s">
        <v>109</v>
      </c>
      <c r="E71" s="7" t="str">
        <f t="shared" si="6"/>
        <v>31</v>
      </c>
      <c r="G71" s="5"/>
    </row>
    <row r="72" spans="1:7" x14ac:dyDescent="0.25">
      <c r="A72" s="9" t="str">
        <f t="shared" si="7"/>
        <v>01 MASTER REQUEST - TIME POLL</v>
      </c>
      <c r="B72" t="s">
        <v>126</v>
      </c>
      <c r="C72" s="7" t="str">
        <f t="shared" si="5"/>
        <v>10</v>
      </c>
      <c r="D72" s="8" t="s">
        <v>109</v>
      </c>
      <c r="E72" s="7" t="str">
        <f t="shared" si="6"/>
        <v>31</v>
      </c>
      <c r="G72" s="5"/>
    </row>
    <row r="73" spans="1:7" x14ac:dyDescent="0.25">
      <c r="A73" s="9" t="str">
        <f t="shared" si="7"/>
        <v>00 STATUS - IDLE</v>
      </c>
      <c r="B73" t="s">
        <v>132</v>
      </c>
      <c r="C73" s="7" t="str">
        <f t="shared" si="5"/>
        <v>31</v>
      </c>
      <c r="D73" s="8" t="s">
        <v>109</v>
      </c>
      <c r="E73" s="7" t="str">
        <f t="shared" si="6"/>
        <v>10</v>
      </c>
      <c r="G73" s="5"/>
    </row>
    <row r="74" spans="1:7" x14ac:dyDescent="0.25">
      <c r="A74" s="9" t="str">
        <f t="shared" si="7"/>
        <v>84 REQUEST MORE TEXT FIELDS - SEND DISC INFO</v>
      </c>
      <c r="B74" t="s">
        <v>127</v>
      </c>
      <c r="C74" s="7" t="str">
        <f t="shared" si="5"/>
        <v>10</v>
      </c>
      <c r="D74" s="8" t="s">
        <v>109</v>
      </c>
      <c r="E74" s="7" t="str">
        <f t="shared" si="6"/>
        <v>31</v>
      </c>
      <c r="G74" s="5"/>
    </row>
    <row r="75" spans="1:7" x14ac:dyDescent="0.25">
      <c r="A75" s="9" t="str">
        <f t="shared" si="7"/>
        <v>01 MASTER REQUEST - SLAVE POLL</v>
      </c>
      <c r="B75" t="s">
        <v>122</v>
      </c>
      <c r="C75" s="7" t="str">
        <f t="shared" si="5"/>
        <v>10</v>
      </c>
      <c r="D75" s="8" t="s">
        <v>109</v>
      </c>
      <c r="E75" s="7" t="str">
        <f t="shared" si="6"/>
        <v>31</v>
      </c>
      <c r="G75" s="5"/>
    </row>
    <row r="76" spans="1:7" x14ac:dyDescent="0.25">
      <c r="A76" s="9" t="str">
        <f t="shared" si="7"/>
        <v>95 MAGAZINE INFO - CD1 YES, CD2 YES, CD3 NO, CD4 NO, CD5 NO, CD6 NO</v>
      </c>
      <c r="B76" t="s">
        <v>128</v>
      </c>
      <c r="C76" s="7" t="str">
        <f t="shared" si="5"/>
        <v>31</v>
      </c>
      <c r="D76" s="8" t="s">
        <v>109</v>
      </c>
      <c r="E76" s="7" t="str">
        <f t="shared" si="6"/>
        <v>10</v>
      </c>
    </row>
    <row r="77" spans="1:7" x14ac:dyDescent="0.25">
      <c r="A77" s="9" t="str">
        <f t="shared" si="7"/>
        <v>01 MASTER REQUEST - SLAVE POLL</v>
      </c>
      <c r="B77" t="s">
        <v>122</v>
      </c>
      <c r="C77" s="7" t="str">
        <f t="shared" si="5"/>
        <v>10</v>
      </c>
      <c r="D77" s="8" t="s">
        <v>109</v>
      </c>
      <c r="E77" s="7" t="str">
        <f t="shared" si="6"/>
        <v>31</v>
      </c>
    </row>
    <row r="78" spans="1:7" x14ac:dyDescent="0.25">
      <c r="A78" s="9" t="str">
        <f t="shared" si="7"/>
        <v>97 DISC INFO - TRACKS: 20, MINS: 46, SECS: 46, DISC: 1</v>
      </c>
      <c r="B78" t="s">
        <v>129</v>
      </c>
      <c r="C78" s="7" t="str">
        <f t="shared" si="5"/>
        <v>31</v>
      </c>
      <c r="D78" s="8" t="s">
        <v>109</v>
      </c>
      <c r="E78" s="7" t="str">
        <f t="shared" si="6"/>
        <v>10</v>
      </c>
    </row>
    <row r="79" spans="1:7" x14ac:dyDescent="0.25">
      <c r="A79" s="9" t="str">
        <f t="shared" si="7"/>
        <v>84 REQUEST MORE TEXT FIELDS - SEND MAGAZINE INFO</v>
      </c>
      <c r="B79" t="s">
        <v>125</v>
      </c>
      <c r="C79" s="7" t="str">
        <f t="shared" si="5"/>
        <v>10</v>
      </c>
      <c r="D79" s="8" t="s">
        <v>109</v>
      </c>
      <c r="E79" s="7" t="str">
        <f t="shared" si="6"/>
        <v>31</v>
      </c>
    </row>
    <row r="80" spans="1:7" x14ac:dyDescent="0.25">
      <c r="A80" s="9" t="str">
        <f t="shared" si="7"/>
        <v>01 MASTER REQUEST - TIME POLL</v>
      </c>
      <c r="B80" t="s">
        <v>126</v>
      </c>
      <c r="C80" s="7" t="str">
        <f t="shared" si="5"/>
        <v>10</v>
      </c>
      <c r="D80" s="8" t="s">
        <v>109</v>
      </c>
      <c r="E80" s="7" t="str">
        <f t="shared" si="6"/>
        <v>31</v>
      </c>
    </row>
    <row r="81" spans="1:5" x14ac:dyDescent="0.25">
      <c r="A81" s="9" t="str">
        <f t="shared" si="7"/>
        <v>00 STATUS - IDLE</v>
      </c>
      <c r="B81" t="s">
        <v>132</v>
      </c>
      <c r="C81" s="7" t="str">
        <f t="shared" si="5"/>
        <v>31</v>
      </c>
      <c r="D81" s="8" t="s">
        <v>109</v>
      </c>
      <c r="E81" s="7" t="str">
        <f t="shared" si="6"/>
        <v>10</v>
      </c>
    </row>
    <row r="82" spans="1:5" x14ac:dyDescent="0.25">
      <c r="A82" s="9" t="str">
        <f t="shared" si="7"/>
        <v>84 REQUEST MORE TEXT FIELDS - SEND DISC INFO</v>
      </c>
      <c r="B82" t="s">
        <v>127</v>
      </c>
      <c r="C82" s="7" t="str">
        <f t="shared" si="5"/>
        <v>10</v>
      </c>
      <c r="D82" s="8" t="s">
        <v>109</v>
      </c>
      <c r="E82" s="7" t="str">
        <f t="shared" si="6"/>
        <v>31</v>
      </c>
    </row>
    <row r="83" spans="1:5" x14ac:dyDescent="0.25">
      <c r="A83" s="9" t="str">
        <f t="shared" si="7"/>
        <v>01 MASTER REQUEST - SLAVE POLL</v>
      </c>
      <c r="B83" t="s">
        <v>122</v>
      </c>
      <c r="C83" s="7" t="str">
        <f t="shared" si="5"/>
        <v>10</v>
      </c>
      <c r="D83" s="8" t="s">
        <v>109</v>
      </c>
      <c r="E83" s="7" t="str">
        <f t="shared" si="6"/>
        <v>31</v>
      </c>
    </row>
    <row r="84" spans="1:5" x14ac:dyDescent="0.25">
      <c r="A84" s="9" t="str">
        <f t="shared" si="7"/>
        <v>95 MAGAZINE INFO - CD1 YES, CD2 YES, CD3 NO, CD4 NO, CD5 NO, CD6 NO</v>
      </c>
      <c r="B84" t="s">
        <v>128</v>
      </c>
      <c r="C84" s="7" t="str">
        <f t="shared" si="5"/>
        <v>31</v>
      </c>
      <c r="D84" s="8" t="s">
        <v>109</v>
      </c>
      <c r="E84" s="7" t="str">
        <f t="shared" si="6"/>
        <v>10</v>
      </c>
    </row>
    <row r="85" spans="1:5" x14ac:dyDescent="0.25">
      <c r="A85" s="9" t="str">
        <f t="shared" si="7"/>
        <v>01 MASTER REQUEST - SLAVE POLL</v>
      </c>
      <c r="B85" t="s">
        <v>122</v>
      </c>
      <c r="C85" s="7" t="str">
        <f t="shared" si="5"/>
        <v>10</v>
      </c>
      <c r="D85" s="8" t="s">
        <v>109</v>
      </c>
      <c r="E85" s="7" t="str">
        <f t="shared" si="6"/>
        <v>31</v>
      </c>
    </row>
    <row r="86" spans="1:5" x14ac:dyDescent="0.25">
      <c r="A86" s="9" t="str">
        <f t="shared" si="7"/>
        <v>97 DISC INFO - TRACKS: 20, MINS: 46, SECS: 46, DISC: 1</v>
      </c>
      <c r="B86" t="s">
        <v>129</v>
      </c>
      <c r="C86" s="7" t="str">
        <f t="shared" si="5"/>
        <v>31</v>
      </c>
      <c r="D86" s="8" t="s">
        <v>109</v>
      </c>
      <c r="E86" s="7" t="str">
        <f t="shared" si="6"/>
        <v>10</v>
      </c>
    </row>
    <row r="87" spans="1:5" x14ac:dyDescent="0.25">
      <c r="A87" s="9" t="str">
        <f t="shared" si="7"/>
        <v>84 REQUEST MORE TEXT FIELDS - SEND MAGAZINE INFO</v>
      </c>
      <c r="B87" t="s">
        <v>125</v>
      </c>
      <c r="C87" s="7" t="str">
        <f t="shared" si="5"/>
        <v>10</v>
      </c>
      <c r="D87" s="8" t="s">
        <v>109</v>
      </c>
      <c r="E87" s="7" t="str">
        <f t="shared" si="6"/>
        <v>31</v>
      </c>
    </row>
    <row r="88" spans="1:5" x14ac:dyDescent="0.25">
      <c r="A88" s="9" t="str">
        <f t="shared" si="7"/>
        <v>01 MASTER REQUEST - TIME POLL</v>
      </c>
      <c r="B88" t="s">
        <v>126</v>
      </c>
      <c r="C88" s="7" t="str">
        <f t="shared" si="5"/>
        <v>10</v>
      </c>
      <c r="D88" s="8" t="s">
        <v>109</v>
      </c>
      <c r="E88" s="7" t="str">
        <f t="shared" si="6"/>
        <v>31</v>
      </c>
    </row>
    <row r="89" spans="1:5" x14ac:dyDescent="0.25">
      <c r="A89" s="9" t="str">
        <f t="shared" si="7"/>
        <v>00 STATUS - IDLE</v>
      </c>
      <c r="B89" t="s">
        <v>132</v>
      </c>
      <c r="C89" s="7" t="str">
        <f t="shared" si="5"/>
        <v>31</v>
      </c>
      <c r="D89" s="8" t="s">
        <v>109</v>
      </c>
      <c r="E89" s="7" t="str">
        <f t="shared" si="6"/>
        <v>10</v>
      </c>
    </row>
    <row r="90" spans="1:5" x14ac:dyDescent="0.25">
      <c r="A90" s="9" t="str">
        <f t="shared" si="7"/>
        <v>84 REQUEST MORE TEXT FIELDS - SEND DISC INFO</v>
      </c>
      <c r="B90" t="s">
        <v>127</v>
      </c>
      <c r="C90" s="7" t="str">
        <f t="shared" si="5"/>
        <v>10</v>
      </c>
      <c r="D90" s="8" t="s">
        <v>109</v>
      </c>
      <c r="E90" s="7" t="str">
        <f t="shared" si="6"/>
        <v>31</v>
      </c>
    </row>
    <row r="91" spans="1:5" x14ac:dyDescent="0.25">
      <c r="A91" s="9" t="str">
        <f t="shared" si="7"/>
        <v>01 MASTER REQUEST - SLAVE POLL</v>
      </c>
      <c r="B91" t="s">
        <v>122</v>
      </c>
      <c r="C91" s="7" t="str">
        <f t="shared" si="5"/>
        <v>10</v>
      </c>
      <c r="D91" s="8" t="s">
        <v>109</v>
      </c>
      <c r="E91" s="7" t="str">
        <f t="shared" si="6"/>
        <v>31</v>
      </c>
    </row>
    <row r="92" spans="1:5" x14ac:dyDescent="0.25">
      <c r="A92" s="9" t="str">
        <f t="shared" si="7"/>
        <v>95 MAGAZINE INFO - CD1 YES, CD2 YES, CD3 NO, CD4 NO, CD5 NO, CD6 NO</v>
      </c>
      <c r="B92" t="s">
        <v>128</v>
      </c>
      <c r="C92" s="7" t="str">
        <f t="shared" si="5"/>
        <v>31</v>
      </c>
      <c r="D92" s="8" t="s">
        <v>109</v>
      </c>
      <c r="E92" s="7" t="str">
        <f t="shared" si="6"/>
        <v>10</v>
      </c>
    </row>
    <row r="93" spans="1:5" x14ac:dyDescent="0.25">
      <c r="A93" s="9" t="str">
        <f t="shared" si="7"/>
        <v>01 MASTER REQUEST - SLAVE POLL</v>
      </c>
      <c r="B93" t="s">
        <v>122</v>
      </c>
      <c r="C93" s="7" t="str">
        <f t="shared" si="5"/>
        <v>10</v>
      </c>
      <c r="D93" s="8" t="s">
        <v>109</v>
      </c>
      <c r="E93" s="7" t="str">
        <f t="shared" si="6"/>
        <v>31</v>
      </c>
    </row>
    <row r="94" spans="1:5" x14ac:dyDescent="0.25">
      <c r="A94" s="9" t="str">
        <f t="shared" si="7"/>
        <v>97 DISC INFO - TRACKS: 20, MINS: 46, SECS: 46, DISC: 1</v>
      </c>
      <c r="B94" t="s">
        <v>129</v>
      </c>
      <c r="C94" s="7" t="str">
        <f t="shared" si="5"/>
        <v>31</v>
      </c>
      <c r="D94" s="8" t="s">
        <v>109</v>
      </c>
      <c r="E94" s="7" t="str">
        <f t="shared" si="6"/>
        <v>10</v>
      </c>
    </row>
    <row r="95" spans="1:5" x14ac:dyDescent="0.25">
      <c r="A95" s="9" t="str">
        <f t="shared" si="7"/>
        <v>84 REQUEST MORE TEXT FIELDS - SEND MAGAZINE INFO</v>
      </c>
      <c r="B95" t="s">
        <v>125</v>
      </c>
      <c r="C95" s="7" t="str">
        <f t="shared" ref="C95:C158" si="8">MID(B95,4,2)</f>
        <v>10</v>
      </c>
      <c r="D95" s="8" t="s">
        <v>109</v>
      </c>
      <c r="E95" s="7" t="str">
        <f t="shared" ref="E95:E158" si="9">MID(B95,1,2)</f>
        <v>31</v>
      </c>
    </row>
    <row r="96" spans="1:5" x14ac:dyDescent="0.25">
      <c r="A96" s="9" t="str">
        <f t="shared" si="7"/>
        <v>01 MASTER REQUEST - TIME POLL</v>
      </c>
      <c r="B96" t="s">
        <v>126</v>
      </c>
      <c r="C96" s="7" t="str">
        <f t="shared" si="8"/>
        <v>10</v>
      </c>
      <c r="D96" s="8" t="s">
        <v>109</v>
      </c>
      <c r="E96" s="7" t="str">
        <f t="shared" si="9"/>
        <v>31</v>
      </c>
    </row>
    <row r="97" spans="1:5" x14ac:dyDescent="0.25">
      <c r="A97" s="9" t="str">
        <f t="shared" si="7"/>
        <v>00 STATUS - IDLE</v>
      </c>
      <c r="B97" t="s">
        <v>132</v>
      </c>
      <c r="C97" s="7" t="str">
        <f t="shared" si="8"/>
        <v>31</v>
      </c>
      <c r="D97" s="8" t="s">
        <v>109</v>
      </c>
      <c r="E97" s="7" t="str">
        <f t="shared" si="9"/>
        <v>10</v>
      </c>
    </row>
    <row r="98" spans="1:5" x14ac:dyDescent="0.25">
      <c r="A98" s="9" t="str">
        <f t="shared" si="7"/>
        <v>84 REQUEST MORE TEXT FIELDS - SEND DISC INFO</v>
      </c>
      <c r="B98" t="s">
        <v>127</v>
      </c>
      <c r="C98" s="7" t="str">
        <f t="shared" si="8"/>
        <v>10</v>
      </c>
      <c r="D98" s="8" t="s">
        <v>109</v>
      </c>
      <c r="E98" s="7" t="str">
        <f t="shared" si="9"/>
        <v>31</v>
      </c>
    </row>
    <row r="99" spans="1:5" x14ac:dyDescent="0.25">
      <c r="A99" s="9" t="str">
        <f t="shared" si="7"/>
        <v>01 MASTER REQUEST - SLAVE POLL</v>
      </c>
      <c r="B99" t="s">
        <v>122</v>
      </c>
      <c r="C99" s="7" t="str">
        <f t="shared" si="8"/>
        <v>10</v>
      </c>
      <c r="D99" s="8" t="s">
        <v>109</v>
      </c>
      <c r="E99" s="7" t="str">
        <f t="shared" si="9"/>
        <v>31</v>
      </c>
    </row>
    <row r="100" spans="1:5" x14ac:dyDescent="0.25">
      <c r="A100" s="9" t="str">
        <f t="shared" si="7"/>
        <v>95 MAGAZINE INFO - CD1 YES, CD2 YES, CD3 NO, CD4 NO, CD5 NO, CD6 NO</v>
      </c>
      <c r="B100" t="s">
        <v>128</v>
      </c>
      <c r="C100" s="7" t="str">
        <f t="shared" si="8"/>
        <v>31</v>
      </c>
      <c r="D100" s="8" t="s">
        <v>109</v>
      </c>
      <c r="E100" s="7" t="str">
        <f t="shared" si="9"/>
        <v>10</v>
      </c>
    </row>
    <row r="101" spans="1:5" x14ac:dyDescent="0.25">
      <c r="A101" s="9" t="str">
        <f t="shared" si="7"/>
        <v>01 MASTER REQUEST - SLAVE POLL</v>
      </c>
      <c r="B101" t="s">
        <v>122</v>
      </c>
      <c r="C101" s="7" t="str">
        <f t="shared" si="8"/>
        <v>10</v>
      </c>
      <c r="D101" s="8" t="s">
        <v>109</v>
      </c>
      <c r="E101" s="7" t="str">
        <f t="shared" si="9"/>
        <v>31</v>
      </c>
    </row>
    <row r="102" spans="1:5" x14ac:dyDescent="0.25">
      <c r="A102" s="9" t="str">
        <f t="shared" si="7"/>
        <v>97 DISC INFO - TRACKS: 20, MINS: 46, SECS: 46, DISC: 1</v>
      </c>
      <c r="B102" t="s">
        <v>129</v>
      </c>
      <c r="C102" s="7" t="str">
        <f t="shared" si="8"/>
        <v>31</v>
      </c>
      <c r="D102" s="8" t="s">
        <v>109</v>
      </c>
      <c r="E102" s="7" t="str">
        <f t="shared" si="9"/>
        <v>10</v>
      </c>
    </row>
    <row r="103" spans="1:5" x14ac:dyDescent="0.25">
      <c r="A103" s="9" t="str">
        <f t="shared" si="7"/>
        <v>84 REQUEST MORE TEXT FIELDS - SEND MAGAZINE INFO</v>
      </c>
      <c r="B103" t="s">
        <v>125</v>
      </c>
      <c r="C103" s="7" t="str">
        <f t="shared" si="8"/>
        <v>10</v>
      </c>
      <c r="D103" s="8" t="s">
        <v>109</v>
      </c>
      <c r="E103" s="7" t="str">
        <f t="shared" si="9"/>
        <v>31</v>
      </c>
    </row>
    <row r="104" spans="1:5" x14ac:dyDescent="0.25">
      <c r="A104" s="9" t="str">
        <f t="shared" si="7"/>
        <v>01 MASTER REQUEST - TIME POLL</v>
      </c>
      <c r="B104" t="s">
        <v>126</v>
      </c>
      <c r="C104" s="7" t="str">
        <f t="shared" si="8"/>
        <v>10</v>
      </c>
      <c r="D104" s="8" t="s">
        <v>109</v>
      </c>
      <c r="E104" s="7" t="str">
        <f t="shared" si="9"/>
        <v>31</v>
      </c>
    </row>
    <row r="105" spans="1:5" x14ac:dyDescent="0.25">
      <c r="A105" s="9" t="str">
        <f t="shared" si="7"/>
        <v>00 STATUS - IDLE</v>
      </c>
      <c r="B105" t="s">
        <v>132</v>
      </c>
      <c r="C105" s="7" t="str">
        <f t="shared" si="8"/>
        <v>31</v>
      </c>
      <c r="D105" s="8" t="s">
        <v>109</v>
      </c>
      <c r="E105" s="7" t="str">
        <f t="shared" si="9"/>
        <v>10</v>
      </c>
    </row>
    <row r="106" spans="1:5" x14ac:dyDescent="0.25">
      <c r="A106" s="9" t="str">
        <f t="shared" si="7"/>
        <v>84 REQUEST MORE TEXT FIELDS - SEND DISC INFO</v>
      </c>
      <c r="B106" t="s">
        <v>127</v>
      </c>
      <c r="C106" s="7" t="str">
        <f t="shared" si="8"/>
        <v>10</v>
      </c>
      <c r="D106" s="8" t="s">
        <v>109</v>
      </c>
      <c r="E106" s="7" t="str">
        <f t="shared" si="9"/>
        <v>31</v>
      </c>
    </row>
    <row r="107" spans="1:5" x14ac:dyDescent="0.25">
      <c r="A107" s="9" t="str">
        <f t="shared" si="7"/>
        <v>01 MASTER REQUEST - SLAVE POLL</v>
      </c>
      <c r="B107" t="s">
        <v>122</v>
      </c>
      <c r="C107" s="7" t="str">
        <f t="shared" si="8"/>
        <v>10</v>
      </c>
      <c r="D107" s="8" t="s">
        <v>109</v>
      </c>
      <c r="E107" s="7" t="str">
        <f t="shared" si="9"/>
        <v>31</v>
      </c>
    </row>
    <row r="108" spans="1:5" x14ac:dyDescent="0.25">
      <c r="A108" s="9" t="str">
        <f t="shared" si="7"/>
        <v>95 MAGAZINE INFO - CD1 YES, CD2 YES, CD3 NO, CD4 NO, CD5 NO, CD6 NO</v>
      </c>
      <c r="B108" t="s">
        <v>128</v>
      </c>
      <c r="C108" s="7" t="str">
        <f t="shared" si="8"/>
        <v>31</v>
      </c>
      <c r="D108" s="8" t="s">
        <v>109</v>
      </c>
      <c r="E108" s="7" t="str">
        <f t="shared" si="9"/>
        <v>10</v>
      </c>
    </row>
    <row r="109" spans="1:5" x14ac:dyDescent="0.25">
      <c r="A109" s="9" t="str">
        <f t="shared" si="7"/>
        <v>01 MASTER REQUEST - SLAVE POLL</v>
      </c>
      <c r="B109" t="s">
        <v>122</v>
      </c>
      <c r="C109" s="7" t="str">
        <f t="shared" si="8"/>
        <v>10</v>
      </c>
      <c r="D109" s="8" t="s">
        <v>109</v>
      </c>
      <c r="E109" s="7" t="str">
        <f t="shared" si="9"/>
        <v>31</v>
      </c>
    </row>
    <row r="110" spans="1:5" x14ac:dyDescent="0.25">
      <c r="A110" s="9" t="str">
        <f t="shared" si="7"/>
        <v>97 DISC INFO - TRACKS: 20, MINS: 46, SECS: 46, DISC: 1</v>
      </c>
      <c r="B110" t="s">
        <v>129</v>
      </c>
      <c r="C110" s="7" t="str">
        <f t="shared" si="8"/>
        <v>31</v>
      </c>
      <c r="D110" s="8" t="s">
        <v>109</v>
      </c>
      <c r="E110" s="7" t="str">
        <f t="shared" si="9"/>
        <v>10</v>
      </c>
    </row>
    <row r="111" spans="1:5" x14ac:dyDescent="0.25">
      <c r="A111" s="9" t="str">
        <f t="shared" si="7"/>
        <v>01 MASTER REQUEST - SLAVE POLL</v>
      </c>
      <c r="B111" t="s">
        <v>122</v>
      </c>
      <c r="C111" s="7" t="str">
        <f t="shared" si="8"/>
        <v>10</v>
      </c>
      <c r="D111" s="8" t="s">
        <v>109</v>
      </c>
      <c r="E111" s="7" t="str">
        <f t="shared" si="9"/>
        <v>31</v>
      </c>
    </row>
    <row r="112" spans="1:5" x14ac:dyDescent="0.25">
      <c r="A112" s="9" t="str">
        <f t="shared" si="7"/>
        <v>00 STATUS - IDLE</v>
      </c>
      <c r="B112" t="s">
        <v>132</v>
      </c>
      <c r="C112" s="7" t="str">
        <f t="shared" si="8"/>
        <v>31</v>
      </c>
      <c r="D112" s="8" t="s">
        <v>109</v>
      </c>
      <c r="E112" s="7" t="str">
        <f t="shared" si="9"/>
        <v>10</v>
      </c>
    </row>
    <row r="113" spans="1:5" x14ac:dyDescent="0.25">
      <c r="A113" s="9" t="str">
        <f t="shared" si="7"/>
        <v>84 REQUEST MORE TEXT FIELDS - SEND MAGAZINE INFO</v>
      </c>
      <c r="B113" t="s">
        <v>134</v>
      </c>
      <c r="C113" s="7" t="str">
        <f t="shared" si="8"/>
        <v>10</v>
      </c>
      <c r="D113" s="8" t="s">
        <v>109</v>
      </c>
      <c r="E113" s="7" t="str">
        <f t="shared" si="9"/>
        <v>31</v>
      </c>
    </row>
    <row r="114" spans="1:5" x14ac:dyDescent="0.25">
      <c r="A114" s="9" t="str">
        <f t="shared" si="7"/>
        <v>01 MASTER REQUEST - TIME POLL</v>
      </c>
      <c r="B114" t="s">
        <v>126</v>
      </c>
      <c r="C114" s="7" t="str">
        <f t="shared" si="8"/>
        <v>10</v>
      </c>
      <c r="D114" s="8" t="s">
        <v>109</v>
      </c>
      <c r="E114" s="7" t="str">
        <f t="shared" si="9"/>
        <v>31</v>
      </c>
    </row>
    <row r="115" spans="1:5" x14ac:dyDescent="0.25">
      <c r="A115" s="9" t="str">
        <f t="shared" si="7"/>
        <v>00 STATUS - IDLE</v>
      </c>
      <c r="B115" t="s">
        <v>132</v>
      </c>
      <c r="C115" s="7" t="str">
        <f t="shared" si="8"/>
        <v>31</v>
      </c>
      <c r="D115" s="8" t="s">
        <v>109</v>
      </c>
      <c r="E115" s="7" t="str">
        <f t="shared" si="9"/>
        <v>10</v>
      </c>
    </row>
    <row r="116" spans="1:5" x14ac:dyDescent="0.25">
      <c r="A116" s="9" t="str">
        <f t="shared" si="7"/>
        <v>84 REQUEST MORE TEXT FIELDS - SEND DISC INFO</v>
      </c>
      <c r="B116" t="s">
        <v>127</v>
      </c>
      <c r="C116" s="7" t="str">
        <f t="shared" si="8"/>
        <v>10</v>
      </c>
      <c r="D116" s="8" t="s">
        <v>109</v>
      </c>
      <c r="E116" s="7" t="str">
        <f t="shared" si="9"/>
        <v>31</v>
      </c>
    </row>
    <row r="117" spans="1:5" x14ac:dyDescent="0.25">
      <c r="A117" s="9" t="str">
        <f t="shared" si="7"/>
        <v>01 MASTER REQUEST - SLAVE POLL</v>
      </c>
      <c r="B117" t="s">
        <v>122</v>
      </c>
      <c r="C117" s="7" t="str">
        <f t="shared" si="8"/>
        <v>10</v>
      </c>
      <c r="D117" s="8" t="s">
        <v>109</v>
      </c>
      <c r="E117" s="7" t="str">
        <f t="shared" si="9"/>
        <v>31</v>
      </c>
    </row>
    <row r="118" spans="1:5" x14ac:dyDescent="0.25">
      <c r="A118" s="9" t="str">
        <f t="shared" si="7"/>
        <v>95 MAGAZINE INFO - CD1 YES, CD2 YES, CD3 NO, CD4 NO, CD5 NO, CD6 NO</v>
      </c>
      <c r="B118" t="s">
        <v>128</v>
      </c>
      <c r="C118" s="7" t="str">
        <f t="shared" si="8"/>
        <v>31</v>
      </c>
      <c r="D118" s="8" t="s">
        <v>109</v>
      </c>
      <c r="E118" s="7" t="str">
        <f t="shared" si="9"/>
        <v>10</v>
      </c>
    </row>
    <row r="119" spans="1:5" x14ac:dyDescent="0.25">
      <c r="A119" s="9" t="str">
        <f t="shared" si="7"/>
        <v>01 MASTER REQUEST - SLAVE POLL</v>
      </c>
      <c r="B119" t="s">
        <v>122</v>
      </c>
      <c r="C119" s="7" t="str">
        <f t="shared" si="8"/>
        <v>10</v>
      </c>
      <c r="D119" s="8" t="s">
        <v>109</v>
      </c>
      <c r="E119" s="7" t="str">
        <f t="shared" si="9"/>
        <v>31</v>
      </c>
    </row>
    <row r="120" spans="1:5" x14ac:dyDescent="0.25">
      <c r="A120" s="9" t="str">
        <f t="shared" si="7"/>
        <v>97 DISC INFO - TRACKS: 20, MINS: 46, SECS: 46, DISC: 1</v>
      </c>
      <c r="B120" t="s">
        <v>129</v>
      </c>
      <c r="C120" s="7" t="str">
        <f t="shared" si="8"/>
        <v>31</v>
      </c>
      <c r="D120" s="8" t="s">
        <v>109</v>
      </c>
      <c r="E120" s="7" t="str">
        <f t="shared" si="9"/>
        <v>10</v>
      </c>
    </row>
    <row r="121" spans="1:5" x14ac:dyDescent="0.25">
      <c r="A121" s="9" t="str">
        <f t="shared" si="7"/>
        <v>84 REQUEST MORE TEXT FIELDS - SEND MAGAZINE INFO</v>
      </c>
      <c r="B121" t="s">
        <v>125</v>
      </c>
      <c r="C121" s="7" t="str">
        <f t="shared" si="8"/>
        <v>10</v>
      </c>
      <c r="D121" s="8" t="s">
        <v>109</v>
      </c>
      <c r="E121" s="7" t="str">
        <f t="shared" si="9"/>
        <v>31</v>
      </c>
    </row>
    <row r="122" spans="1:5" x14ac:dyDescent="0.25">
      <c r="A122" s="9" t="str">
        <f t="shared" si="7"/>
        <v>01 MASTER REQUEST - TIME POLL</v>
      </c>
      <c r="B122" t="s">
        <v>126</v>
      </c>
      <c r="C122" s="7" t="str">
        <f t="shared" si="8"/>
        <v>10</v>
      </c>
      <c r="D122" s="8" t="s">
        <v>109</v>
      </c>
      <c r="E122" s="7" t="str">
        <f t="shared" si="9"/>
        <v>31</v>
      </c>
    </row>
    <row r="123" spans="1:5" x14ac:dyDescent="0.25">
      <c r="A123" s="9" t="str">
        <f t="shared" si="7"/>
        <v>00 STATUS - IDLE</v>
      </c>
      <c r="B123" t="s">
        <v>132</v>
      </c>
      <c r="C123" s="7" t="str">
        <f t="shared" si="8"/>
        <v>31</v>
      </c>
      <c r="D123" s="8" t="s">
        <v>109</v>
      </c>
      <c r="E123" s="7" t="str">
        <f t="shared" si="9"/>
        <v>10</v>
      </c>
    </row>
    <row r="124" spans="1:5" x14ac:dyDescent="0.25">
      <c r="A124" s="9" t="str">
        <f t="shared" si="7"/>
        <v>84 REQUEST MORE TEXT FIELDS - SEND DISC INFO</v>
      </c>
      <c r="B124" t="s">
        <v>127</v>
      </c>
      <c r="C124" s="7" t="str">
        <f t="shared" si="8"/>
        <v>10</v>
      </c>
      <c r="D124" s="8" t="s">
        <v>109</v>
      </c>
      <c r="E124" s="7" t="str">
        <f t="shared" si="9"/>
        <v>31</v>
      </c>
    </row>
    <row r="125" spans="1:5" x14ac:dyDescent="0.25">
      <c r="A125" s="9" t="str">
        <f t="shared" si="7"/>
        <v>01 MASTER REQUEST - SLAVE POLL</v>
      </c>
      <c r="B125" t="s">
        <v>122</v>
      </c>
      <c r="C125" s="7" t="str">
        <f t="shared" si="8"/>
        <v>10</v>
      </c>
      <c r="D125" s="8" t="s">
        <v>109</v>
      </c>
      <c r="E125" s="7" t="str">
        <f t="shared" si="9"/>
        <v>31</v>
      </c>
    </row>
    <row r="126" spans="1:5" x14ac:dyDescent="0.25">
      <c r="A126" s="9" t="str">
        <f t="shared" si="7"/>
        <v>95 MAGAZINE INFO - CD1 YES, CD2 YES, CD3 NO, CD4 NO, CD5 NO, CD6 NO</v>
      </c>
      <c r="B126" t="s">
        <v>128</v>
      </c>
      <c r="C126" s="7" t="str">
        <f t="shared" si="8"/>
        <v>31</v>
      </c>
      <c r="D126" s="8" t="s">
        <v>109</v>
      </c>
      <c r="E126" s="7" t="str">
        <f t="shared" si="9"/>
        <v>10</v>
      </c>
    </row>
    <row r="127" spans="1:5" x14ac:dyDescent="0.25">
      <c r="A127" s="9" t="str">
        <f t="shared" si="7"/>
        <v>01 MASTER REQUEST - SLAVE POLL</v>
      </c>
      <c r="B127" t="s">
        <v>122</v>
      </c>
      <c r="C127" s="7" t="str">
        <f t="shared" si="8"/>
        <v>10</v>
      </c>
      <c r="D127" s="8" t="s">
        <v>109</v>
      </c>
      <c r="E127" s="7" t="str">
        <f t="shared" si="9"/>
        <v>31</v>
      </c>
    </row>
    <row r="128" spans="1:5" x14ac:dyDescent="0.25">
      <c r="A128" s="9" t="str">
        <f t="shared" si="7"/>
        <v>97 DISC INFO - TRACKS: 20, MINS: 46, SECS: 46, DISC: 1</v>
      </c>
      <c r="B128" t="s">
        <v>129</v>
      </c>
      <c r="C128" s="7" t="str">
        <f t="shared" si="8"/>
        <v>31</v>
      </c>
      <c r="D128" s="8" t="s">
        <v>109</v>
      </c>
      <c r="E128" s="7" t="str">
        <f t="shared" si="9"/>
        <v>10</v>
      </c>
    </row>
    <row r="129" spans="1:5" x14ac:dyDescent="0.25">
      <c r="A129" s="9" t="str">
        <f t="shared" si="7"/>
        <v>84 REQUEST MORE TEXT FIELDS - SEND MAGAZINE INFO</v>
      </c>
      <c r="B129" t="s">
        <v>125</v>
      </c>
      <c r="C129" s="7" t="str">
        <f t="shared" si="8"/>
        <v>10</v>
      </c>
      <c r="D129" s="8" t="s">
        <v>109</v>
      </c>
      <c r="E129" s="7" t="str">
        <f t="shared" si="9"/>
        <v>31</v>
      </c>
    </row>
    <row r="130" spans="1:5" x14ac:dyDescent="0.25">
      <c r="A130" s="9" t="str">
        <f t="shared" si="7"/>
        <v>01 MASTER REQUEST - TIME POLL</v>
      </c>
      <c r="B130" t="s">
        <v>126</v>
      </c>
      <c r="C130" s="7" t="str">
        <f t="shared" si="8"/>
        <v>10</v>
      </c>
      <c r="D130" s="8" t="s">
        <v>109</v>
      </c>
      <c r="E130" s="7" t="str">
        <f t="shared" si="9"/>
        <v>31</v>
      </c>
    </row>
    <row r="131" spans="1:5" x14ac:dyDescent="0.25">
      <c r="A131" s="9" t="str">
        <f t="shared" ref="A131:A172" si="10">ParseUnilink(B131)</f>
        <v>00 STATUS - IDLE</v>
      </c>
      <c r="B131" t="s">
        <v>132</v>
      </c>
      <c r="C131" s="7" t="str">
        <f t="shared" si="8"/>
        <v>31</v>
      </c>
      <c r="D131" s="8" t="s">
        <v>109</v>
      </c>
      <c r="E131" s="7" t="str">
        <f t="shared" si="9"/>
        <v>10</v>
      </c>
    </row>
    <row r="132" spans="1:5" x14ac:dyDescent="0.25">
      <c r="A132" s="9" t="str">
        <f t="shared" si="10"/>
        <v>84 REQUEST MORE TEXT FIELDS - SEND DISC INFO</v>
      </c>
      <c r="B132" t="s">
        <v>127</v>
      </c>
      <c r="C132" s="7" t="str">
        <f t="shared" si="8"/>
        <v>10</v>
      </c>
      <c r="D132" s="8" t="s">
        <v>109</v>
      </c>
      <c r="E132" s="7" t="str">
        <f t="shared" si="9"/>
        <v>31</v>
      </c>
    </row>
    <row r="133" spans="1:5" x14ac:dyDescent="0.25">
      <c r="A133" s="9" t="str">
        <f t="shared" si="10"/>
        <v>01 MASTER REQUEST - SLAVE POLL</v>
      </c>
      <c r="B133" t="s">
        <v>122</v>
      </c>
      <c r="C133" s="7" t="str">
        <f t="shared" si="8"/>
        <v>10</v>
      </c>
      <c r="D133" s="8" t="s">
        <v>109</v>
      </c>
      <c r="E133" s="7" t="str">
        <f t="shared" si="9"/>
        <v>31</v>
      </c>
    </row>
    <row r="134" spans="1:5" x14ac:dyDescent="0.25">
      <c r="A134" s="9" t="str">
        <f t="shared" si="10"/>
        <v>95 MAGAZINE INFO - CD1 YES, CD2 YES, CD3 NO, CD4 NO, CD5 NO, CD6 NO</v>
      </c>
      <c r="B134" t="s">
        <v>128</v>
      </c>
      <c r="C134" s="7" t="str">
        <f t="shared" si="8"/>
        <v>31</v>
      </c>
      <c r="D134" s="8" t="s">
        <v>109</v>
      </c>
      <c r="E134" s="7" t="str">
        <f t="shared" si="9"/>
        <v>10</v>
      </c>
    </row>
    <row r="135" spans="1:5" x14ac:dyDescent="0.25">
      <c r="A135" s="9" t="str">
        <f t="shared" si="10"/>
        <v>01 MASTER REQUEST - SLAVE POLL</v>
      </c>
      <c r="B135" t="s">
        <v>135</v>
      </c>
      <c r="C135" s="7" t="str">
        <f t="shared" si="8"/>
        <v>10</v>
      </c>
      <c r="D135" s="8" t="s">
        <v>109</v>
      </c>
      <c r="E135" s="7" t="str">
        <f t="shared" si="9"/>
        <v>31</v>
      </c>
    </row>
    <row r="136" spans="1:5" x14ac:dyDescent="0.25">
      <c r="A136" s="9" t="str">
        <f t="shared" si="10"/>
        <v>97 DISC INFO - TRACKS: 20, MINS: 46, SECS: 46, DISC: 1</v>
      </c>
      <c r="B136" t="s">
        <v>129</v>
      </c>
      <c r="C136" s="7" t="str">
        <f t="shared" si="8"/>
        <v>31</v>
      </c>
      <c r="D136" s="8" t="s">
        <v>109</v>
      </c>
      <c r="E136" s="7" t="str">
        <f t="shared" si="9"/>
        <v>10</v>
      </c>
    </row>
    <row r="137" spans="1:5" x14ac:dyDescent="0.25">
      <c r="A137" s="9" t="str">
        <f t="shared" si="10"/>
        <v>84 REQUEST MORE TEXT FIELDS - SEND MAGAZINE INFO</v>
      </c>
      <c r="B137" t="s">
        <v>125</v>
      </c>
      <c r="C137" s="7" t="str">
        <f t="shared" si="8"/>
        <v>10</v>
      </c>
      <c r="D137" s="8" t="s">
        <v>109</v>
      </c>
      <c r="E137" s="7" t="str">
        <f t="shared" si="9"/>
        <v>31</v>
      </c>
    </row>
    <row r="138" spans="1:5" x14ac:dyDescent="0.25">
      <c r="A138" s="9" t="str">
        <f t="shared" si="10"/>
        <v>01 MASTER REQUEST - TIME POLL</v>
      </c>
      <c r="B138" t="s">
        <v>126</v>
      </c>
      <c r="C138" s="7" t="str">
        <f t="shared" si="8"/>
        <v>10</v>
      </c>
      <c r="D138" s="8" t="s">
        <v>109</v>
      </c>
      <c r="E138" s="7" t="str">
        <f t="shared" si="9"/>
        <v>31</v>
      </c>
    </row>
    <row r="139" spans="1:5" x14ac:dyDescent="0.25">
      <c r="A139" s="9" t="str">
        <f t="shared" si="10"/>
        <v>00 STATUS - IDLE</v>
      </c>
      <c r="B139" t="s">
        <v>132</v>
      </c>
      <c r="C139" s="7" t="str">
        <f t="shared" si="8"/>
        <v>31</v>
      </c>
      <c r="D139" s="8" t="s">
        <v>109</v>
      </c>
      <c r="E139" s="7" t="str">
        <f t="shared" si="9"/>
        <v>10</v>
      </c>
    </row>
    <row r="140" spans="1:5" x14ac:dyDescent="0.25">
      <c r="A140" s="9" t="str">
        <f t="shared" si="10"/>
        <v>84 REQUEST MORE TEXT FIELDS - SEND DISC INFO</v>
      </c>
      <c r="B140" t="s">
        <v>127</v>
      </c>
      <c r="C140" s="7" t="str">
        <f t="shared" si="8"/>
        <v>10</v>
      </c>
      <c r="D140" s="8" t="s">
        <v>109</v>
      </c>
      <c r="E140" s="7" t="str">
        <f t="shared" si="9"/>
        <v>31</v>
      </c>
    </row>
    <row r="141" spans="1:5" x14ac:dyDescent="0.25">
      <c r="A141" s="9" t="str">
        <f t="shared" si="10"/>
        <v>01 MASTER REQUEST - SLAVE POLL</v>
      </c>
      <c r="B141" t="s">
        <v>136</v>
      </c>
      <c r="C141" s="7" t="str">
        <f t="shared" si="8"/>
        <v>10</v>
      </c>
      <c r="D141" s="8" t="s">
        <v>109</v>
      </c>
      <c r="E141" s="7" t="str">
        <f t="shared" si="9"/>
        <v>31</v>
      </c>
    </row>
    <row r="142" spans="1:5" x14ac:dyDescent="0.25">
      <c r="A142" s="9" t="str">
        <f t="shared" si="10"/>
        <v>95 MAGAZINE INFO - CD1 YES, CD2 YES, CD3 NO, CD4 NO, CD5 NO, CD6 NO</v>
      </c>
      <c r="B142" t="s">
        <v>128</v>
      </c>
      <c r="C142" s="7" t="str">
        <f t="shared" si="8"/>
        <v>31</v>
      </c>
      <c r="D142" s="8" t="s">
        <v>109</v>
      </c>
      <c r="E142" s="7" t="str">
        <f t="shared" si="9"/>
        <v>10</v>
      </c>
    </row>
    <row r="143" spans="1:5" x14ac:dyDescent="0.25">
      <c r="A143" s="9" t="str">
        <f t="shared" si="10"/>
        <v>01 MASTER REQUEST - SLAVE POLL</v>
      </c>
      <c r="B143" t="s">
        <v>122</v>
      </c>
      <c r="C143" s="7" t="str">
        <f t="shared" si="8"/>
        <v>10</v>
      </c>
      <c r="D143" s="8" t="s">
        <v>109</v>
      </c>
      <c r="E143" s="7" t="str">
        <f t="shared" si="9"/>
        <v>31</v>
      </c>
    </row>
    <row r="144" spans="1:5" x14ac:dyDescent="0.25">
      <c r="A144" s="9" t="str">
        <f t="shared" si="10"/>
        <v>97 DISC INFO - TRACKS: 20, MINS: 46, SECS: 46, DISC: 1</v>
      </c>
      <c r="B144" t="s">
        <v>129</v>
      </c>
      <c r="C144" s="7" t="str">
        <f t="shared" si="8"/>
        <v>31</v>
      </c>
      <c r="D144" s="8" t="s">
        <v>109</v>
      </c>
      <c r="E144" s="7" t="str">
        <f t="shared" si="9"/>
        <v>10</v>
      </c>
    </row>
    <row r="145" spans="1:5" x14ac:dyDescent="0.25">
      <c r="A145" s="9" t="str">
        <f t="shared" si="10"/>
        <v>84 REQUEST MORE TEXT FIELDS - SEND MAGAZINE INFO</v>
      </c>
      <c r="B145" t="s">
        <v>125</v>
      </c>
      <c r="C145" s="7" t="str">
        <f t="shared" si="8"/>
        <v>10</v>
      </c>
      <c r="D145" s="8" t="s">
        <v>109</v>
      </c>
      <c r="E145" s="7" t="str">
        <f t="shared" si="9"/>
        <v>31</v>
      </c>
    </row>
    <row r="146" spans="1:5" x14ac:dyDescent="0.25">
      <c r="A146" s="9" t="str">
        <f t="shared" si="10"/>
        <v>01 MASTER REQUEST - TIME POLL</v>
      </c>
      <c r="B146" t="s">
        <v>126</v>
      </c>
      <c r="C146" s="7" t="str">
        <f t="shared" si="8"/>
        <v>10</v>
      </c>
      <c r="D146" s="8" t="s">
        <v>109</v>
      </c>
      <c r="E146" s="7" t="str">
        <f t="shared" si="9"/>
        <v>31</v>
      </c>
    </row>
    <row r="147" spans="1:5" x14ac:dyDescent="0.25">
      <c r="A147" s="9" t="str">
        <f t="shared" si="10"/>
        <v>00 STATUS - IDLE</v>
      </c>
      <c r="B147" t="s">
        <v>132</v>
      </c>
      <c r="C147" s="7" t="str">
        <f t="shared" si="8"/>
        <v>31</v>
      </c>
      <c r="D147" s="8" t="s">
        <v>109</v>
      </c>
      <c r="E147" s="7" t="str">
        <f t="shared" si="9"/>
        <v>10</v>
      </c>
    </row>
    <row r="148" spans="1:5" x14ac:dyDescent="0.25">
      <c r="A148" s="9" t="str">
        <f t="shared" si="10"/>
        <v>84 REQUEST MORE TEXT FIELDS - SEND DISC INFO</v>
      </c>
      <c r="B148" t="s">
        <v>127</v>
      </c>
      <c r="C148" s="7" t="str">
        <f t="shared" si="8"/>
        <v>10</v>
      </c>
      <c r="D148" s="8" t="s">
        <v>109</v>
      </c>
      <c r="E148" s="7" t="str">
        <f t="shared" si="9"/>
        <v>31</v>
      </c>
    </row>
    <row r="149" spans="1:5" x14ac:dyDescent="0.25">
      <c r="A149" s="9" t="str">
        <f t="shared" si="10"/>
        <v>01 MASTER REQUEST - SLAVE POLL</v>
      </c>
      <c r="B149" t="s">
        <v>122</v>
      </c>
      <c r="C149" s="7" t="str">
        <f t="shared" si="8"/>
        <v>10</v>
      </c>
      <c r="D149" s="8" t="s">
        <v>109</v>
      </c>
      <c r="E149" s="7" t="str">
        <f t="shared" si="9"/>
        <v>31</v>
      </c>
    </row>
    <row r="150" spans="1:5" x14ac:dyDescent="0.25">
      <c r="A150" s="9" t="str">
        <f t="shared" si="10"/>
        <v>95 MAGAZINE INFO - CD1 YES, CD2 YES, CD3 NO, CD4 NO, CD5 NO, CD6 NO</v>
      </c>
      <c r="B150" t="s">
        <v>128</v>
      </c>
      <c r="C150" s="7" t="str">
        <f t="shared" si="8"/>
        <v>31</v>
      </c>
      <c r="D150" s="8" t="s">
        <v>109</v>
      </c>
      <c r="E150" s="7" t="str">
        <f t="shared" si="9"/>
        <v>10</v>
      </c>
    </row>
    <row r="151" spans="1:5" x14ac:dyDescent="0.25">
      <c r="A151" s="9" t="str">
        <f t="shared" si="10"/>
        <v>01 MASTER REQUEST - SLAVE POLL</v>
      </c>
      <c r="B151" t="s">
        <v>122</v>
      </c>
      <c r="C151" s="7" t="str">
        <f t="shared" si="8"/>
        <v>10</v>
      </c>
      <c r="D151" s="8" t="s">
        <v>109</v>
      </c>
      <c r="E151" s="7" t="str">
        <f t="shared" si="9"/>
        <v>31</v>
      </c>
    </row>
    <row r="152" spans="1:5" x14ac:dyDescent="0.25">
      <c r="A152" s="9" t="str">
        <f t="shared" si="10"/>
        <v>97 DISC INFO - TRACKS: 20, MINS: 46, SECS: 46, DISC: 1</v>
      </c>
      <c r="B152" t="s">
        <v>129</v>
      </c>
      <c r="C152" s="7" t="str">
        <f t="shared" si="8"/>
        <v>31</v>
      </c>
      <c r="D152" s="8" t="s">
        <v>109</v>
      </c>
      <c r="E152" s="7" t="str">
        <f t="shared" si="9"/>
        <v>10</v>
      </c>
    </row>
    <row r="153" spans="1:5" x14ac:dyDescent="0.25">
      <c r="A153" s="9" t="str">
        <f t="shared" si="10"/>
        <v>01 MASTER REQUEST - SLAVE POLL</v>
      </c>
      <c r="B153" t="s">
        <v>122</v>
      </c>
      <c r="C153" s="7" t="str">
        <f t="shared" si="8"/>
        <v>10</v>
      </c>
      <c r="D153" s="8" t="s">
        <v>109</v>
      </c>
      <c r="E153" s="7" t="str">
        <f t="shared" si="9"/>
        <v>31</v>
      </c>
    </row>
    <row r="154" spans="1:5" x14ac:dyDescent="0.25">
      <c r="A154" s="9" t="str">
        <f t="shared" si="10"/>
        <v>00 STATUS - IDLE</v>
      </c>
      <c r="B154" t="s">
        <v>132</v>
      </c>
      <c r="C154" s="7" t="str">
        <f t="shared" si="8"/>
        <v>31</v>
      </c>
      <c r="D154" s="8" t="s">
        <v>109</v>
      </c>
      <c r="E154" s="7" t="str">
        <f t="shared" si="9"/>
        <v>10</v>
      </c>
    </row>
    <row r="155" spans="1:5" x14ac:dyDescent="0.25">
      <c r="A155" s="9" t="str">
        <f t="shared" si="10"/>
        <v>84 REQUEST MORE TEXT FIELDS - SEND MAGAZINE INFO</v>
      </c>
      <c r="B155" t="s">
        <v>125</v>
      </c>
      <c r="C155" s="7" t="str">
        <f t="shared" si="8"/>
        <v>10</v>
      </c>
      <c r="D155" s="8" t="s">
        <v>109</v>
      </c>
      <c r="E155" s="7" t="str">
        <f t="shared" si="9"/>
        <v>31</v>
      </c>
    </row>
    <row r="156" spans="1:5" x14ac:dyDescent="0.25">
      <c r="A156" s="9" t="str">
        <f t="shared" si="10"/>
        <v>01 MASTER REQUEST - TIME POLL</v>
      </c>
      <c r="B156" t="s">
        <v>126</v>
      </c>
      <c r="C156" s="7" t="str">
        <f t="shared" si="8"/>
        <v>10</v>
      </c>
      <c r="D156" s="8" t="s">
        <v>109</v>
      </c>
      <c r="E156" s="7" t="str">
        <f t="shared" si="9"/>
        <v>31</v>
      </c>
    </row>
    <row r="157" spans="1:5" x14ac:dyDescent="0.25">
      <c r="A157" s="9" t="str">
        <f t="shared" si="10"/>
        <v>00 STATUS - IDLE</v>
      </c>
      <c r="B157" t="s">
        <v>132</v>
      </c>
      <c r="C157" s="7" t="str">
        <f t="shared" si="8"/>
        <v>31</v>
      </c>
      <c r="D157" s="8" t="s">
        <v>109</v>
      </c>
      <c r="E157" s="7" t="str">
        <f t="shared" si="9"/>
        <v>10</v>
      </c>
    </row>
    <row r="158" spans="1:5" x14ac:dyDescent="0.25">
      <c r="A158" s="9" t="str">
        <f t="shared" si="10"/>
        <v>84 REQUEST MORE TEXT FIELDS - SEND DISC INFO</v>
      </c>
      <c r="B158" t="s">
        <v>127</v>
      </c>
      <c r="C158" s="7" t="str">
        <f t="shared" si="8"/>
        <v>10</v>
      </c>
      <c r="D158" s="8" t="s">
        <v>109</v>
      </c>
      <c r="E158" s="7" t="str">
        <f t="shared" si="9"/>
        <v>31</v>
      </c>
    </row>
    <row r="159" spans="1:5" x14ac:dyDescent="0.25">
      <c r="A159" s="9" t="str">
        <f t="shared" si="10"/>
        <v>01 MASTER REQUEST - SLAVE POLL</v>
      </c>
      <c r="B159" t="s">
        <v>122</v>
      </c>
      <c r="C159" s="7" t="str">
        <f t="shared" ref="C159:C172" si="11">MID(B159,4,2)</f>
        <v>10</v>
      </c>
      <c r="D159" s="8" t="s">
        <v>109</v>
      </c>
      <c r="E159" s="7" t="str">
        <f t="shared" ref="E159:E172" si="12">MID(B159,1,2)</f>
        <v>31</v>
      </c>
    </row>
    <row r="160" spans="1:5" x14ac:dyDescent="0.25">
      <c r="A160" s="9" t="str">
        <f t="shared" si="10"/>
        <v>95 MAGAZINE INFO - CD1 YES, CD2 YES, CD3 NO, CD4 NO, CD5 NO, CD6 NO</v>
      </c>
      <c r="B160" t="s">
        <v>128</v>
      </c>
      <c r="C160" s="7" t="str">
        <f t="shared" si="11"/>
        <v>31</v>
      </c>
      <c r="D160" s="8" t="s">
        <v>109</v>
      </c>
      <c r="E160" s="7" t="str">
        <f t="shared" si="12"/>
        <v>10</v>
      </c>
    </row>
    <row r="161" spans="1:5" x14ac:dyDescent="0.25">
      <c r="A161" s="9" t="str">
        <f t="shared" si="10"/>
        <v>01 MASTER REQUEST - SLAVE POLL</v>
      </c>
      <c r="B161" t="s">
        <v>122</v>
      </c>
      <c r="C161" s="7" t="str">
        <f t="shared" si="11"/>
        <v>10</v>
      </c>
      <c r="D161" s="8" t="s">
        <v>109</v>
      </c>
      <c r="E161" s="7" t="str">
        <f t="shared" si="12"/>
        <v>31</v>
      </c>
    </row>
    <row r="162" spans="1:5" x14ac:dyDescent="0.25">
      <c r="A162" s="9" t="str">
        <f t="shared" si="10"/>
        <v>97 DISC INFO - TRACKS: 20, MINS: 46, SECS: 46, DISC: 1</v>
      </c>
      <c r="B162" t="s">
        <v>129</v>
      </c>
      <c r="C162" s="7" t="str">
        <f t="shared" si="11"/>
        <v>31</v>
      </c>
      <c r="D162" s="8" t="s">
        <v>109</v>
      </c>
      <c r="E162" s="7" t="str">
        <f t="shared" si="12"/>
        <v>10</v>
      </c>
    </row>
    <row r="163" spans="1:5" x14ac:dyDescent="0.25">
      <c r="A163" s="9" t="str">
        <f t="shared" si="10"/>
        <v>01 MASTER REQUEST - SLAVE POLL</v>
      </c>
      <c r="B163" t="s">
        <v>122</v>
      </c>
      <c r="C163" s="7" t="str">
        <f t="shared" si="11"/>
        <v>10</v>
      </c>
      <c r="D163" s="8" t="s">
        <v>109</v>
      </c>
      <c r="E163" s="7" t="str">
        <f t="shared" si="12"/>
        <v>31</v>
      </c>
    </row>
    <row r="164" spans="1:5" x14ac:dyDescent="0.25">
      <c r="A164" s="9" t="str">
        <f t="shared" si="10"/>
        <v>00 STATUS - IDLE</v>
      </c>
      <c r="B164" t="s">
        <v>132</v>
      </c>
      <c r="C164" s="7" t="str">
        <f t="shared" si="11"/>
        <v>31</v>
      </c>
      <c r="D164" s="8" t="s">
        <v>109</v>
      </c>
      <c r="E164" s="7" t="str">
        <f t="shared" si="12"/>
        <v>10</v>
      </c>
    </row>
    <row r="165" spans="1:5" x14ac:dyDescent="0.25">
      <c r="A165" s="9" t="str">
        <f t="shared" si="10"/>
        <v>84 REQUEST MORE TEXT FIELDS - SEND MAGAZINE INFO</v>
      </c>
      <c r="B165" t="s">
        <v>125</v>
      </c>
      <c r="C165" s="7" t="str">
        <f t="shared" si="11"/>
        <v>10</v>
      </c>
      <c r="D165" s="8" t="s">
        <v>109</v>
      </c>
      <c r="E165" s="7" t="str">
        <f t="shared" si="12"/>
        <v>31</v>
      </c>
    </row>
    <row r="166" spans="1:5" x14ac:dyDescent="0.25">
      <c r="A166" s="9" t="str">
        <f t="shared" si="10"/>
        <v>01 MASTER REQUEST - TIME POLL</v>
      </c>
      <c r="B166" t="s">
        <v>126</v>
      </c>
      <c r="C166" s="7" t="str">
        <f t="shared" si="11"/>
        <v>10</v>
      </c>
      <c r="D166" s="8" t="s">
        <v>109</v>
      </c>
      <c r="E166" s="7" t="str">
        <f t="shared" si="12"/>
        <v>31</v>
      </c>
    </row>
    <row r="167" spans="1:5" x14ac:dyDescent="0.25">
      <c r="A167" s="9" t="str">
        <f t="shared" si="10"/>
        <v>00 STATUS - IDLE</v>
      </c>
      <c r="B167" t="s">
        <v>132</v>
      </c>
      <c r="C167" s="7" t="str">
        <f t="shared" si="11"/>
        <v>31</v>
      </c>
      <c r="D167" s="8" t="s">
        <v>109</v>
      </c>
      <c r="E167" s="7" t="str">
        <f t="shared" si="12"/>
        <v>10</v>
      </c>
    </row>
    <row r="168" spans="1:5" x14ac:dyDescent="0.25">
      <c r="A168" s="9" t="str">
        <f t="shared" si="10"/>
        <v>84 REQUEST MORE TEXT FIELDS - SEND DISC INFO</v>
      </c>
      <c r="B168" t="s">
        <v>127</v>
      </c>
      <c r="C168" s="7" t="str">
        <f t="shared" si="11"/>
        <v>10</v>
      </c>
      <c r="D168" s="8" t="s">
        <v>109</v>
      </c>
      <c r="E168" s="7" t="str">
        <f t="shared" si="12"/>
        <v>31</v>
      </c>
    </row>
    <row r="169" spans="1:5" x14ac:dyDescent="0.25">
      <c r="A169" s="9" t="str">
        <f t="shared" si="10"/>
        <v>01 MASTER REQUEST - SLAVE POLL</v>
      </c>
      <c r="B169" t="s">
        <v>122</v>
      </c>
      <c r="C169" s="7" t="str">
        <f t="shared" si="11"/>
        <v>10</v>
      </c>
      <c r="D169" s="8" t="s">
        <v>109</v>
      </c>
      <c r="E169" s="7" t="str">
        <f t="shared" si="12"/>
        <v>31</v>
      </c>
    </row>
    <row r="170" spans="1:5" x14ac:dyDescent="0.25">
      <c r="A170" s="9" t="str">
        <f t="shared" si="10"/>
        <v>95 MAGAZINE INFO - CD1 YES, CD2 YES, CD3 NO, CD4 NO, CD5 NO, CD6 NO</v>
      </c>
      <c r="B170" t="s">
        <v>128</v>
      </c>
      <c r="C170" s="7" t="str">
        <f t="shared" si="11"/>
        <v>31</v>
      </c>
      <c r="D170" s="8" t="s">
        <v>109</v>
      </c>
      <c r="E170" s="7" t="str">
        <f t="shared" si="12"/>
        <v>10</v>
      </c>
    </row>
    <row r="171" spans="1:5" x14ac:dyDescent="0.25">
      <c r="A171" s="9" t="str">
        <f t="shared" si="10"/>
        <v>01 MASTER REQUEST - SLAVE POLL</v>
      </c>
      <c r="B171" t="s">
        <v>122</v>
      </c>
      <c r="C171" s="7" t="str">
        <f t="shared" si="11"/>
        <v>10</v>
      </c>
      <c r="D171" s="8" t="s">
        <v>109</v>
      </c>
      <c r="E171" s="7" t="str">
        <f t="shared" si="12"/>
        <v>31</v>
      </c>
    </row>
    <row r="172" spans="1:5" x14ac:dyDescent="0.25">
      <c r="A172" s="9" t="str">
        <f t="shared" si="10"/>
        <v>97 DISC INFO - TRACKS: 20, MINS: 46, SECS: 46, DISC: 1</v>
      </c>
      <c r="B172" t="s">
        <v>129</v>
      </c>
      <c r="C172" s="7" t="str">
        <f t="shared" si="11"/>
        <v>31</v>
      </c>
      <c r="D172" s="8" t="s">
        <v>109</v>
      </c>
      <c r="E172" s="7" t="str">
        <f t="shared" si="12"/>
        <v>10</v>
      </c>
    </row>
  </sheetData>
  <conditionalFormatting sqref="A2:A172">
    <cfRule type="expression" dxfId="135" priority="2">
      <formula>AND(EXACT($A$1,"01"),EXACT(MID(B2,7,5),"01 02"))</formula>
    </cfRule>
    <cfRule type="expression" dxfId="134" priority="3">
      <formula>AND(EXACT($A$1,"01"),EXACT(MID(B2,7,5),"01 00"))</formula>
    </cfRule>
    <cfRule type="expression" dxfId="127" priority="4">
      <formula>EXACT(UPPER($A$1),UPPER(MID(B2,7,2)))</formula>
    </cfRule>
  </conditionalFormatting>
  <conditionalFormatting sqref="B2:B172">
    <cfRule type="expression" dxfId="133" priority="12">
      <formula>EXACT(MID(B2,4,2),"31")</formula>
    </cfRule>
    <cfRule type="expression" dxfId="132" priority="13">
      <formula>EXACT(MID(B2,4,2),"30")</formula>
    </cfRule>
    <cfRule type="expression" dxfId="131" priority="14">
      <formula>EXACT(MID(B2,4,2),"10")</formula>
    </cfRule>
    <cfRule type="expression" dxfId="130" priority="15">
      <formula>EXACT(MID(B2,4,2),"11")</formula>
    </cfRule>
  </conditionalFormatting>
  <conditionalFormatting sqref="C2:C172 E2:E172">
    <cfRule type="expression" dxfId="129" priority="48">
      <formula>GESTEP(HEX2DEC($E2),70)</formula>
    </cfRule>
  </conditionalFormatting>
  <conditionalFormatting sqref="D2:D172">
    <cfRule type="expression" dxfId="128" priority="1">
      <formula>GESTEP(HEX2DEC($E2),70)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efresh_button_Click">
                <anchor mov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752475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A1:L132"/>
  <sheetViews>
    <sheetView workbookViewId="0"/>
  </sheetViews>
  <sheetFormatPr baseColWidth="10" defaultRowHeight="15" x14ac:dyDescent="0.25"/>
  <cols>
    <col min="1" max="1" width="80.7109375" customWidth="1"/>
    <col min="2" max="2" width="38.7109375" customWidth="1"/>
    <col min="3" max="5" width="3.7109375" customWidth="1"/>
    <col min="7" max="7" width="20.7109375" customWidth="1"/>
    <col min="8" max="8" width="6.7109375" customWidth="1"/>
  </cols>
  <sheetData>
    <row r="1" spans="1:12" x14ac:dyDescent="0.25">
      <c r="A1" s="11" t="s">
        <v>308</v>
      </c>
      <c r="B1" s="10" t="s">
        <v>184</v>
      </c>
      <c r="C1" t="s">
        <v>185</v>
      </c>
      <c r="E1" t="s">
        <v>186</v>
      </c>
      <c r="G1" s="19" t="s">
        <v>315</v>
      </c>
      <c r="H1" s="19"/>
      <c r="I1" s="19"/>
      <c r="J1" s="18"/>
      <c r="K1" s="18"/>
      <c r="L1" s="18"/>
    </row>
    <row r="2" spans="1:12" x14ac:dyDescent="0.25">
      <c r="A2" s="9" t="str">
        <f>ParseUnilink(B2)</f>
        <v>01 MASTER REQUEST - SLAVE POLL</v>
      </c>
      <c r="B2" t="s">
        <v>122</v>
      </c>
      <c r="C2" s="7" t="str">
        <f t="shared" ref="C2" si="0">MID(B2,4,2)</f>
        <v>10</v>
      </c>
      <c r="D2" s="8" t="s">
        <v>109</v>
      </c>
      <c r="E2" s="7" t="str">
        <f t="shared" ref="E2" si="1">MID(B2,1,2)</f>
        <v>31</v>
      </c>
      <c r="G2" s="19" t="s">
        <v>108</v>
      </c>
      <c r="H2" s="18"/>
      <c r="I2" s="18"/>
      <c r="J2" s="18"/>
      <c r="K2" s="18"/>
      <c r="L2" s="18"/>
    </row>
    <row r="3" spans="1:12" x14ac:dyDescent="0.25">
      <c r="A3" s="9" t="str">
        <f t="shared" ref="A3:A66" si="2">ParseUnilink(B3)</f>
        <v>95 MAGAZINE INFO - CD1 YES, CD2 YES, CD3 NO, CD4 NO, CD5 NO, CD6 NO</v>
      </c>
      <c r="B3" t="s">
        <v>128</v>
      </c>
      <c r="C3" s="7" t="str">
        <f t="shared" ref="C3:C66" si="3">MID(B3,4,2)</f>
        <v>31</v>
      </c>
      <c r="D3" s="8" t="s">
        <v>109</v>
      </c>
      <c r="E3" s="7" t="str">
        <f t="shared" ref="E3:E66" si="4">MID(B3,1,2)</f>
        <v>10</v>
      </c>
    </row>
    <row r="4" spans="1:12" ht="15.75" thickBot="1" x14ac:dyDescent="0.3">
      <c r="A4" s="9" t="str">
        <f t="shared" si="2"/>
        <v>01 MASTER REQUEST - SLAVE POLL</v>
      </c>
      <c r="B4" t="s">
        <v>122</v>
      </c>
      <c r="C4" s="7" t="str">
        <f t="shared" si="3"/>
        <v>10</v>
      </c>
      <c r="D4" s="8" t="s">
        <v>109</v>
      </c>
      <c r="E4" s="7" t="str">
        <f t="shared" si="4"/>
        <v>31</v>
      </c>
    </row>
    <row r="5" spans="1:12" ht="15.75" thickBot="1" x14ac:dyDescent="0.3">
      <c r="A5" s="9" t="str">
        <f t="shared" si="2"/>
        <v>97 DISC INFO - TRACKS: 20, MINS: 46, SECS: 46, DISC: 1</v>
      </c>
      <c r="B5" t="s">
        <v>129</v>
      </c>
      <c r="C5" s="7" t="str">
        <f t="shared" si="3"/>
        <v>31</v>
      </c>
      <c r="D5" s="8" t="s">
        <v>109</v>
      </c>
      <c r="E5" s="7" t="str">
        <f t="shared" si="4"/>
        <v>10</v>
      </c>
      <c r="G5" s="12" t="s">
        <v>314</v>
      </c>
      <c r="H5" s="13" t="s">
        <v>313</v>
      </c>
    </row>
    <row r="6" spans="1:12" x14ac:dyDescent="0.25">
      <c r="A6" s="9" t="str">
        <f t="shared" si="2"/>
        <v>87 WAKE FROM IDLE?</v>
      </c>
      <c r="B6" t="s">
        <v>118</v>
      </c>
      <c r="C6" s="7" t="str">
        <f t="shared" si="3"/>
        <v>10</v>
      </c>
      <c r="D6" s="8" t="s">
        <v>109</v>
      </c>
      <c r="E6" s="7" t="str">
        <f t="shared" si="4"/>
        <v>18</v>
      </c>
      <c r="G6" s="16" t="s">
        <v>243</v>
      </c>
      <c r="H6" s="14" t="s">
        <v>148</v>
      </c>
    </row>
    <row r="7" spans="1:12" x14ac:dyDescent="0.25">
      <c r="A7" s="9" t="str">
        <f t="shared" si="2"/>
        <v>F0 SWITCH SOURCE FROM 51 TO 31</v>
      </c>
      <c r="B7" t="s">
        <v>137</v>
      </c>
      <c r="C7" s="7" t="str">
        <f t="shared" si="3"/>
        <v>10</v>
      </c>
      <c r="D7" s="8" t="s">
        <v>109</v>
      </c>
      <c r="E7" s="7" t="str">
        <f t="shared" si="4"/>
        <v>18</v>
      </c>
      <c r="G7" s="16" t="s">
        <v>244</v>
      </c>
      <c r="H7" s="14" t="s">
        <v>148</v>
      </c>
    </row>
    <row r="8" spans="1:12" x14ac:dyDescent="0.25">
      <c r="A8" s="9" t="str">
        <f t="shared" si="2"/>
        <v>21 SWITCH TO CD?</v>
      </c>
      <c r="B8" t="s">
        <v>120</v>
      </c>
      <c r="C8" s="7" t="str">
        <f t="shared" si="3"/>
        <v>11</v>
      </c>
      <c r="D8" s="8" t="s">
        <v>109</v>
      </c>
      <c r="E8" s="7" t="str">
        <f t="shared" si="4"/>
        <v>31</v>
      </c>
      <c r="G8" s="16" t="s">
        <v>245</v>
      </c>
      <c r="H8" s="14" t="s">
        <v>148</v>
      </c>
    </row>
    <row r="9" spans="1:12" x14ac:dyDescent="0.25">
      <c r="A9" s="9" t="str">
        <f t="shared" si="2"/>
        <v>20 PLAY (FROM MASTER)</v>
      </c>
      <c r="B9" t="s">
        <v>121</v>
      </c>
      <c r="C9" s="7" t="str">
        <f t="shared" si="3"/>
        <v>10</v>
      </c>
      <c r="D9" s="8" t="s">
        <v>109</v>
      </c>
      <c r="E9" s="7" t="str">
        <f t="shared" si="4"/>
        <v>31</v>
      </c>
      <c r="G9" s="16" t="s">
        <v>246</v>
      </c>
      <c r="H9" s="14" t="s">
        <v>242</v>
      </c>
    </row>
    <row r="10" spans="1:12" x14ac:dyDescent="0.25">
      <c r="A10" s="9" t="str">
        <f t="shared" si="2"/>
        <v>08 KEY RELEASED</v>
      </c>
      <c r="B10" t="s">
        <v>131</v>
      </c>
      <c r="C10" s="7" t="str">
        <f t="shared" si="3"/>
        <v>11</v>
      </c>
      <c r="D10" s="8" t="s">
        <v>109</v>
      </c>
      <c r="E10" s="7" t="str">
        <f t="shared" si="4"/>
        <v>18</v>
      </c>
      <c r="G10" s="16" t="s">
        <v>247</v>
      </c>
      <c r="H10" s="14" t="s">
        <v>287</v>
      </c>
    </row>
    <row r="11" spans="1:12" x14ac:dyDescent="0.25">
      <c r="A11" s="9" t="str">
        <f t="shared" si="2"/>
        <v>01 MASTER REQUEST - SLAVE POLL</v>
      </c>
      <c r="B11" t="s">
        <v>122</v>
      </c>
      <c r="C11" s="7" t="str">
        <f t="shared" si="3"/>
        <v>10</v>
      </c>
      <c r="D11" s="8" t="s">
        <v>109</v>
      </c>
      <c r="E11" s="7" t="str">
        <f t="shared" si="4"/>
        <v>31</v>
      </c>
      <c r="G11" s="16" t="s">
        <v>248</v>
      </c>
      <c r="H11" s="14" t="s">
        <v>287</v>
      </c>
    </row>
    <row r="12" spans="1:12" x14ac:dyDescent="0.25">
      <c r="A12" s="9" t="str">
        <f t="shared" si="2"/>
        <v>01 MASTER REQUEST - SLAVE POLL</v>
      </c>
      <c r="B12" t="s">
        <v>122</v>
      </c>
      <c r="C12" s="7" t="str">
        <f t="shared" si="3"/>
        <v>10</v>
      </c>
      <c r="D12" s="8" t="s">
        <v>109</v>
      </c>
      <c r="E12" s="7" t="str">
        <f t="shared" si="4"/>
        <v>31</v>
      </c>
      <c r="G12" s="16" t="s">
        <v>249</v>
      </c>
      <c r="H12" s="14" t="s">
        <v>288</v>
      </c>
    </row>
    <row r="13" spans="1:12" x14ac:dyDescent="0.25">
      <c r="A13" s="9" t="str">
        <f t="shared" si="2"/>
        <v>9C AFTER DISC CHANGE TO MASTER - Disc number: 1</v>
      </c>
      <c r="B13" t="s">
        <v>123</v>
      </c>
      <c r="C13" s="7" t="str">
        <f t="shared" si="3"/>
        <v>31</v>
      </c>
      <c r="D13" s="8" t="s">
        <v>109</v>
      </c>
      <c r="E13" s="7" t="str">
        <f t="shared" si="4"/>
        <v>90</v>
      </c>
      <c r="G13" s="16" t="s">
        <v>250</v>
      </c>
      <c r="H13" s="14" t="s">
        <v>289</v>
      </c>
    </row>
    <row r="14" spans="1:12" x14ac:dyDescent="0.25">
      <c r="A14" s="9" t="str">
        <f t="shared" si="2"/>
        <v>01 MASTER REQUEST - SLAVE POLL</v>
      </c>
      <c r="B14" t="s">
        <v>122</v>
      </c>
      <c r="C14" s="7" t="str">
        <f t="shared" si="3"/>
        <v>10</v>
      </c>
      <c r="D14" s="8" t="s">
        <v>109</v>
      </c>
      <c r="E14" s="7" t="str">
        <f t="shared" si="4"/>
        <v>31</v>
      </c>
      <c r="G14" s="16" t="s">
        <v>251</v>
      </c>
      <c r="H14" s="14" t="s">
        <v>290</v>
      </c>
    </row>
    <row r="15" spans="1:12" x14ac:dyDescent="0.25">
      <c r="A15" s="9" t="str">
        <f t="shared" si="2"/>
        <v>01 MASTER REQUEST - SLAVE POLL</v>
      </c>
      <c r="B15" t="s">
        <v>122</v>
      </c>
      <c r="C15" s="7" t="str">
        <f t="shared" si="3"/>
        <v>10</v>
      </c>
      <c r="D15" s="8" t="s">
        <v>109</v>
      </c>
      <c r="E15" s="7" t="str">
        <f t="shared" si="4"/>
        <v>31</v>
      </c>
      <c r="G15" s="16" t="s">
        <v>252</v>
      </c>
      <c r="H15" s="14" t="s">
        <v>291</v>
      </c>
    </row>
    <row r="16" spans="1:12" x14ac:dyDescent="0.25">
      <c r="A16" s="9" t="str">
        <f t="shared" si="2"/>
        <v>00 STATUS - CHANGED CD</v>
      </c>
      <c r="B16" t="s">
        <v>124</v>
      </c>
      <c r="C16" s="7" t="str">
        <f t="shared" si="3"/>
        <v>31</v>
      </c>
      <c r="D16" s="8" t="s">
        <v>109</v>
      </c>
      <c r="E16" s="7" t="str">
        <f t="shared" si="4"/>
        <v>10</v>
      </c>
      <c r="G16" s="16" t="s">
        <v>253</v>
      </c>
      <c r="H16" s="14" t="s">
        <v>292</v>
      </c>
    </row>
    <row r="17" spans="1:8" x14ac:dyDescent="0.25">
      <c r="A17" s="9" t="str">
        <f t="shared" si="2"/>
        <v>84 REQUEST MORE TEXT FIELDS - SEND MAGAZINE INFO</v>
      </c>
      <c r="B17" t="s">
        <v>125</v>
      </c>
      <c r="C17" s="7" t="str">
        <f t="shared" si="3"/>
        <v>10</v>
      </c>
      <c r="D17" s="8" t="s">
        <v>109</v>
      </c>
      <c r="E17" s="7" t="str">
        <f t="shared" si="4"/>
        <v>31</v>
      </c>
      <c r="G17" s="16" t="s">
        <v>254</v>
      </c>
      <c r="H17" s="14" t="s">
        <v>293</v>
      </c>
    </row>
    <row r="18" spans="1:8" x14ac:dyDescent="0.25">
      <c r="A18" s="9" t="str">
        <f t="shared" si="2"/>
        <v>01 MASTER REQUEST - TIME POLL</v>
      </c>
      <c r="B18" t="s">
        <v>126</v>
      </c>
      <c r="C18" s="7" t="str">
        <f t="shared" si="3"/>
        <v>10</v>
      </c>
      <c r="D18" s="8" t="s">
        <v>109</v>
      </c>
      <c r="E18" s="7" t="str">
        <f t="shared" si="4"/>
        <v>31</v>
      </c>
      <c r="G18" s="16" t="s">
        <v>255</v>
      </c>
      <c r="H18" s="14" t="s">
        <v>294</v>
      </c>
    </row>
    <row r="19" spans="1:8" x14ac:dyDescent="0.25">
      <c r="A19" s="9" t="str">
        <f t="shared" si="2"/>
        <v>00 STATUS - CHANGED CD</v>
      </c>
      <c r="B19" t="s">
        <v>124</v>
      </c>
      <c r="C19" s="7" t="str">
        <f t="shared" si="3"/>
        <v>31</v>
      </c>
      <c r="D19" s="8" t="s">
        <v>109</v>
      </c>
      <c r="E19" s="7" t="str">
        <f t="shared" si="4"/>
        <v>10</v>
      </c>
      <c r="G19" s="16" t="s">
        <v>256</v>
      </c>
      <c r="H19" s="14" t="s">
        <v>295</v>
      </c>
    </row>
    <row r="20" spans="1:8" x14ac:dyDescent="0.25">
      <c r="A20" s="9" t="str">
        <f t="shared" si="2"/>
        <v>84 REQUEST MORE TEXT FIELDS - SEND DISC INFO</v>
      </c>
      <c r="B20" t="s">
        <v>127</v>
      </c>
      <c r="C20" s="7" t="str">
        <f t="shared" si="3"/>
        <v>10</v>
      </c>
      <c r="D20" s="8" t="s">
        <v>109</v>
      </c>
      <c r="E20" s="7" t="str">
        <f t="shared" si="4"/>
        <v>31</v>
      </c>
      <c r="G20" s="16" t="s">
        <v>257</v>
      </c>
      <c r="H20" s="14" t="s">
        <v>296</v>
      </c>
    </row>
    <row r="21" spans="1:8" x14ac:dyDescent="0.25">
      <c r="A21" s="9" t="str">
        <f t="shared" si="2"/>
        <v>01 MASTER REQUEST - SLAVE POLL</v>
      </c>
      <c r="B21" t="s">
        <v>122</v>
      </c>
      <c r="C21" s="7" t="str">
        <f t="shared" si="3"/>
        <v>10</v>
      </c>
      <c r="D21" s="8" t="s">
        <v>109</v>
      </c>
      <c r="E21" s="7" t="str">
        <f t="shared" si="4"/>
        <v>31</v>
      </c>
      <c r="G21" s="16" t="s">
        <v>258</v>
      </c>
      <c r="H21" s="14" t="s">
        <v>297</v>
      </c>
    </row>
    <row r="22" spans="1:8" x14ac:dyDescent="0.25">
      <c r="A22" s="9" t="str">
        <f t="shared" si="2"/>
        <v>95 MAGAZINE INFO - CD1 YES, CD2 YES, CD3 NO, CD4 NO, CD5 NO, CD6 NO</v>
      </c>
      <c r="B22" t="s">
        <v>128</v>
      </c>
      <c r="C22" s="7" t="str">
        <f t="shared" si="3"/>
        <v>31</v>
      </c>
      <c r="D22" s="8" t="s">
        <v>109</v>
      </c>
      <c r="E22" s="7" t="str">
        <f t="shared" si="4"/>
        <v>10</v>
      </c>
      <c r="G22" s="16" t="s">
        <v>259</v>
      </c>
      <c r="H22" s="14" t="s">
        <v>298</v>
      </c>
    </row>
    <row r="23" spans="1:8" x14ac:dyDescent="0.25">
      <c r="A23" s="9" t="str">
        <f t="shared" si="2"/>
        <v>01 MASTER REQUEST - SLAVE POLL</v>
      </c>
      <c r="B23" t="s">
        <v>122</v>
      </c>
      <c r="C23" s="7" t="str">
        <f t="shared" si="3"/>
        <v>10</v>
      </c>
      <c r="D23" s="8" t="s">
        <v>109</v>
      </c>
      <c r="E23" s="7" t="str">
        <f t="shared" si="4"/>
        <v>31</v>
      </c>
      <c r="G23" s="16" t="s">
        <v>260</v>
      </c>
      <c r="H23" s="14" t="s">
        <v>299</v>
      </c>
    </row>
    <row r="24" spans="1:8" x14ac:dyDescent="0.25">
      <c r="A24" s="9" t="str">
        <f t="shared" si="2"/>
        <v>97 DISC INFO - TRACKS: 20, MINS: 46, SECS: 46, DISC: 1</v>
      </c>
      <c r="B24" t="s">
        <v>129</v>
      </c>
      <c r="C24" s="7" t="str">
        <f t="shared" si="3"/>
        <v>31</v>
      </c>
      <c r="D24" s="8" t="s">
        <v>109</v>
      </c>
      <c r="E24" s="7" t="str">
        <f t="shared" si="4"/>
        <v>10</v>
      </c>
      <c r="G24" s="16" t="s">
        <v>261</v>
      </c>
      <c r="H24" s="14" t="s">
        <v>300</v>
      </c>
    </row>
    <row r="25" spans="1:8" x14ac:dyDescent="0.25">
      <c r="A25" s="9" t="str">
        <f t="shared" si="2"/>
        <v>84 REQUEST MORE TEXT FIELDS - SEND MAGAZINE INFO</v>
      </c>
      <c r="B25" t="s">
        <v>125</v>
      </c>
      <c r="C25" s="7" t="str">
        <f t="shared" si="3"/>
        <v>10</v>
      </c>
      <c r="D25" s="8" t="s">
        <v>109</v>
      </c>
      <c r="E25" s="7" t="str">
        <f t="shared" si="4"/>
        <v>31</v>
      </c>
      <c r="G25" s="16" t="s">
        <v>262</v>
      </c>
      <c r="H25" s="14" t="s">
        <v>301</v>
      </c>
    </row>
    <row r="26" spans="1:8" x14ac:dyDescent="0.25">
      <c r="A26" s="9" t="str">
        <f t="shared" si="2"/>
        <v>01 MASTER REQUEST - TIME POLL</v>
      </c>
      <c r="B26" t="s">
        <v>126</v>
      </c>
      <c r="C26" s="7" t="str">
        <f t="shared" si="3"/>
        <v>10</v>
      </c>
      <c r="D26" s="8" t="s">
        <v>109</v>
      </c>
      <c r="E26" s="7" t="str">
        <f t="shared" si="4"/>
        <v>31</v>
      </c>
      <c r="G26" s="16" t="s">
        <v>263</v>
      </c>
      <c r="H26" s="14" t="s">
        <v>302</v>
      </c>
    </row>
    <row r="27" spans="1:8" x14ac:dyDescent="0.25">
      <c r="A27" s="9" t="str">
        <f t="shared" si="2"/>
        <v>00 STATUS - CHANGED CD</v>
      </c>
      <c r="B27" t="s">
        <v>124</v>
      </c>
      <c r="C27" s="7" t="str">
        <f t="shared" si="3"/>
        <v>31</v>
      </c>
      <c r="D27" s="8" t="s">
        <v>109</v>
      </c>
      <c r="E27" s="7" t="str">
        <f t="shared" si="4"/>
        <v>10</v>
      </c>
      <c r="G27" s="16" t="s">
        <v>264</v>
      </c>
      <c r="H27" s="14" t="s">
        <v>303</v>
      </c>
    </row>
    <row r="28" spans="1:8" x14ac:dyDescent="0.25">
      <c r="A28" s="9" t="str">
        <f t="shared" si="2"/>
        <v>84 REQUEST MORE TEXT FIELDS - SEND DISC INFO</v>
      </c>
      <c r="B28" t="s">
        <v>127</v>
      </c>
      <c r="C28" s="7" t="str">
        <f t="shared" si="3"/>
        <v>10</v>
      </c>
      <c r="D28" s="8" t="s">
        <v>109</v>
      </c>
      <c r="E28" s="7" t="str">
        <f t="shared" si="4"/>
        <v>31</v>
      </c>
      <c r="G28" s="16" t="s">
        <v>265</v>
      </c>
      <c r="H28" s="14" t="s">
        <v>304</v>
      </c>
    </row>
    <row r="29" spans="1:8" x14ac:dyDescent="0.25">
      <c r="A29" s="9" t="str">
        <f t="shared" si="2"/>
        <v>01 MASTER REQUEST - SLAVE POLL</v>
      </c>
      <c r="B29" t="s">
        <v>122</v>
      </c>
      <c r="C29" s="7" t="str">
        <f t="shared" si="3"/>
        <v>10</v>
      </c>
      <c r="D29" s="8" t="s">
        <v>109</v>
      </c>
      <c r="E29" s="7" t="str">
        <f t="shared" si="4"/>
        <v>31</v>
      </c>
      <c r="G29" s="16" t="s">
        <v>266</v>
      </c>
      <c r="H29" s="14" t="s">
        <v>305</v>
      </c>
    </row>
    <row r="30" spans="1:8" x14ac:dyDescent="0.25">
      <c r="A30" s="9" t="str">
        <f t="shared" si="2"/>
        <v>95 MAGAZINE INFO - CD1 YES, CD2 YES, CD3 NO, CD4 NO, CD5 NO, CD6 NO</v>
      </c>
      <c r="B30" t="s">
        <v>128</v>
      </c>
      <c r="C30" s="7" t="str">
        <f t="shared" si="3"/>
        <v>31</v>
      </c>
      <c r="D30" s="8" t="s">
        <v>109</v>
      </c>
      <c r="E30" s="7" t="str">
        <f t="shared" si="4"/>
        <v>10</v>
      </c>
      <c r="G30" s="16" t="s">
        <v>267</v>
      </c>
      <c r="H30" s="14" t="s">
        <v>306</v>
      </c>
    </row>
    <row r="31" spans="1:8" x14ac:dyDescent="0.25">
      <c r="A31" s="9" t="str">
        <f t="shared" si="2"/>
        <v>01 MASTER REQUEST - SLAVE POLL</v>
      </c>
      <c r="B31" t="s">
        <v>122</v>
      </c>
      <c r="C31" s="7" t="str">
        <f t="shared" si="3"/>
        <v>10</v>
      </c>
      <c r="D31" s="8" t="s">
        <v>109</v>
      </c>
      <c r="E31" s="7" t="str">
        <f t="shared" si="4"/>
        <v>31</v>
      </c>
      <c r="G31" s="16" t="s">
        <v>268</v>
      </c>
      <c r="H31" s="14" t="s">
        <v>307</v>
      </c>
    </row>
    <row r="32" spans="1:8" x14ac:dyDescent="0.25">
      <c r="A32" s="9" t="str">
        <f t="shared" si="2"/>
        <v>97 DISC INFO - TRACKS: 20, MINS: 46, SECS: 46, DISC: 1</v>
      </c>
      <c r="B32" t="s">
        <v>129</v>
      </c>
      <c r="C32" s="7" t="str">
        <f t="shared" si="3"/>
        <v>31</v>
      </c>
      <c r="D32" s="8" t="s">
        <v>109</v>
      </c>
      <c r="E32" s="7" t="str">
        <f t="shared" si="4"/>
        <v>10</v>
      </c>
      <c r="G32" s="16" t="s">
        <v>269</v>
      </c>
      <c r="H32" s="14" t="s">
        <v>270</v>
      </c>
    </row>
    <row r="33" spans="1:8" x14ac:dyDescent="0.25">
      <c r="A33" s="9" t="str">
        <f t="shared" si="2"/>
        <v>01 MASTER REQUEST - SLAVE POLL</v>
      </c>
      <c r="B33" t="s">
        <v>122</v>
      </c>
      <c r="C33" s="7" t="str">
        <f t="shared" si="3"/>
        <v>10</v>
      </c>
      <c r="D33" s="8" t="s">
        <v>109</v>
      </c>
      <c r="E33" s="7" t="str">
        <f t="shared" si="4"/>
        <v>31</v>
      </c>
      <c r="G33" s="16" t="s">
        <v>271</v>
      </c>
      <c r="H33" s="14" t="s">
        <v>272</v>
      </c>
    </row>
    <row r="34" spans="1:8" x14ac:dyDescent="0.25">
      <c r="A34" s="9" t="str">
        <f t="shared" si="2"/>
        <v>01 MASTER REQUEST - SLAVE POLL</v>
      </c>
      <c r="B34" t="s">
        <v>122</v>
      </c>
      <c r="C34" s="7" t="str">
        <f t="shared" si="3"/>
        <v>10</v>
      </c>
      <c r="D34" s="8" t="s">
        <v>109</v>
      </c>
      <c r="E34" s="7" t="str">
        <f t="shared" si="4"/>
        <v>31</v>
      </c>
      <c r="G34" s="16" t="s">
        <v>273</v>
      </c>
      <c r="H34" s="14" t="s">
        <v>308</v>
      </c>
    </row>
    <row r="35" spans="1:8" x14ac:dyDescent="0.25">
      <c r="A35" s="9" t="str">
        <f t="shared" si="2"/>
        <v>00 STATUS - CHANGED CD</v>
      </c>
      <c r="B35" t="s">
        <v>124</v>
      </c>
      <c r="C35" s="7" t="str">
        <f t="shared" si="3"/>
        <v>31</v>
      </c>
      <c r="D35" s="8" t="s">
        <v>109</v>
      </c>
      <c r="E35" s="7" t="str">
        <f t="shared" si="4"/>
        <v>10</v>
      </c>
      <c r="G35" s="16" t="s">
        <v>274</v>
      </c>
      <c r="H35" s="14" t="s">
        <v>309</v>
      </c>
    </row>
    <row r="36" spans="1:8" x14ac:dyDescent="0.25">
      <c r="A36" s="9" t="str">
        <f t="shared" si="2"/>
        <v>21 SWITCH TO CD?</v>
      </c>
      <c r="B36" t="s">
        <v>120</v>
      </c>
      <c r="C36" s="7" t="str">
        <f t="shared" si="3"/>
        <v>11</v>
      </c>
      <c r="D36" s="8" t="s">
        <v>109</v>
      </c>
      <c r="E36" s="7" t="str">
        <f t="shared" si="4"/>
        <v>31</v>
      </c>
      <c r="G36" s="16" t="s">
        <v>275</v>
      </c>
      <c r="H36" s="14" t="s">
        <v>310</v>
      </c>
    </row>
    <row r="37" spans="1:8" x14ac:dyDescent="0.25">
      <c r="A37" s="9" t="str">
        <f t="shared" si="2"/>
        <v>08 KEY RELEASED</v>
      </c>
      <c r="B37" t="s">
        <v>131</v>
      </c>
      <c r="C37" s="7" t="str">
        <f t="shared" si="3"/>
        <v>11</v>
      </c>
      <c r="D37" s="8" t="s">
        <v>109</v>
      </c>
      <c r="E37" s="7" t="str">
        <f t="shared" si="4"/>
        <v>18</v>
      </c>
      <c r="G37" s="16" t="s">
        <v>276</v>
      </c>
      <c r="H37" s="14" t="s">
        <v>311</v>
      </c>
    </row>
    <row r="38" spans="1:8" x14ac:dyDescent="0.25">
      <c r="A38" s="9" t="str">
        <f t="shared" si="2"/>
        <v>01 MASTER REQUEST - SLAVE POLL</v>
      </c>
      <c r="B38" t="s">
        <v>122</v>
      </c>
      <c r="C38" s="7" t="str">
        <f t="shared" si="3"/>
        <v>10</v>
      </c>
      <c r="D38" s="8" t="s">
        <v>109</v>
      </c>
      <c r="E38" s="7" t="str">
        <f t="shared" si="4"/>
        <v>31</v>
      </c>
      <c r="G38" s="16" t="s">
        <v>277</v>
      </c>
      <c r="H38" s="14" t="s">
        <v>278</v>
      </c>
    </row>
    <row r="39" spans="1:8" x14ac:dyDescent="0.25">
      <c r="A39" s="9" t="str">
        <f t="shared" si="2"/>
        <v>94 Configuration change - Mute OFF, Loudness OFF, Phone unmuted</v>
      </c>
      <c r="B39" t="s">
        <v>138</v>
      </c>
      <c r="C39" s="7" t="str">
        <f t="shared" si="3"/>
        <v>31</v>
      </c>
      <c r="D39" s="8" t="s">
        <v>109</v>
      </c>
      <c r="E39" s="7" t="str">
        <f t="shared" si="4"/>
        <v>77</v>
      </c>
      <c r="G39" s="16" t="s">
        <v>279</v>
      </c>
      <c r="H39" s="14" t="s">
        <v>312</v>
      </c>
    </row>
    <row r="40" spans="1:8" x14ac:dyDescent="0.25">
      <c r="A40" s="9" t="str">
        <f t="shared" si="2"/>
        <v>01 MASTER REQUEST - SLAVE POLL</v>
      </c>
      <c r="B40" t="s">
        <v>122</v>
      </c>
      <c r="C40" s="7" t="str">
        <f t="shared" si="3"/>
        <v>10</v>
      </c>
      <c r="D40" s="8" t="s">
        <v>109</v>
      </c>
      <c r="E40" s="7" t="str">
        <f t="shared" si="4"/>
        <v>31</v>
      </c>
      <c r="G40" s="16" t="s">
        <v>280</v>
      </c>
      <c r="H40" s="14" t="s">
        <v>188</v>
      </c>
    </row>
    <row r="41" spans="1:8" x14ac:dyDescent="0.25">
      <c r="A41" s="9" t="str">
        <f t="shared" si="2"/>
        <v>00 STATUS - CHANGED CD</v>
      </c>
      <c r="B41" t="s">
        <v>124</v>
      </c>
      <c r="C41" s="7" t="str">
        <f t="shared" si="3"/>
        <v>31</v>
      </c>
      <c r="D41" s="8" t="s">
        <v>109</v>
      </c>
      <c r="E41" s="7" t="str">
        <f t="shared" si="4"/>
        <v>10</v>
      </c>
      <c r="G41" s="16" t="s">
        <v>281</v>
      </c>
      <c r="H41" s="14" t="s">
        <v>282</v>
      </c>
    </row>
    <row r="42" spans="1:8" x14ac:dyDescent="0.25">
      <c r="A42" s="9" t="str">
        <f t="shared" si="2"/>
        <v>84 REQUEST MORE TEXT FIELDS - SEND MAGAZINE INFO</v>
      </c>
      <c r="B42" t="s">
        <v>125</v>
      </c>
      <c r="C42" s="7" t="str">
        <f t="shared" si="3"/>
        <v>10</v>
      </c>
      <c r="D42" s="8" t="s">
        <v>109</v>
      </c>
      <c r="E42" s="7" t="str">
        <f t="shared" si="4"/>
        <v>31</v>
      </c>
      <c r="G42" s="16" t="s">
        <v>283</v>
      </c>
      <c r="H42" s="14" t="s">
        <v>284</v>
      </c>
    </row>
    <row r="43" spans="1:8" ht="15.75" thickBot="1" x14ac:dyDescent="0.3">
      <c r="A43" s="9" t="str">
        <f t="shared" si="2"/>
        <v>01 MASTER REQUEST - TIME POLL</v>
      </c>
      <c r="B43" t="s">
        <v>126</v>
      </c>
      <c r="C43" s="7" t="str">
        <f t="shared" si="3"/>
        <v>10</v>
      </c>
      <c r="D43" s="8" t="s">
        <v>109</v>
      </c>
      <c r="E43" s="7" t="str">
        <f t="shared" si="4"/>
        <v>31</v>
      </c>
      <c r="G43" s="17" t="s">
        <v>285</v>
      </c>
      <c r="H43" s="15" t="s">
        <v>286</v>
      </c>
    </row>
    <row r="44" spans="1:8" x14ac:dyDescent="0.25">
      <c r="A44" s="9" t="str">
        <f t="shared" si="2"/>
        <v>00 STATUS - CHANGED CD</v>
      </c>
      <c r="B44" t="s">
        <v>124</v>
      </c>
      <c r="C44" s="7" t="str">
        <f t="shared" si="3"/>
        <v>31</v>
      </c>
      <c r="D44" s="8" t="s">
        <v>109</v>
      </c>
      <c r="E44" s="7" t="str">
        <f t="shared" si="4"/>
        <v>10</v>
      </c>
    </row>
    <row r="45" spans="1:8" x14ac:dyDescent="0.25">
      <c r="A45" s="9" t="str">
        <f t="shared" si="2"/>
        <v>84 REQUEST MORE TEXT FIELDS - SEND DISC INFO</v>
      </c>
      <c r="B45" t="s">
        <v>127</v>
      </c>
      <c r="C45" s="7" t="str">
        <f t="shared" si="3"/>
        <v>10</v>
      </c>
      <c r="D45" s="8" t="s">
        <v>109</v>
      </c>
      <c r="E45" s="7" t="str">
        <f t="shared" si="4"/>
        <v>31</v>
      </c>
    </row>
    <row r="46" spans="1:8" x14ac:dyDescent="0.25">
      <c r="A46" s="9" t="str">
        <f t="shared" si="2"/>
        <v>01 MASTER REQUEST - SLAVE POLL</v>
      </c>
      <c r="B46" t="s">
        <v>122</v>
      </c>
      <c r="C46" s="7" t="str">
        <f t="shared" si="3"/>
        <v>10</v>
      </c>
      <c r="D46" s="8" t="s">
        <v>109</v>
      </c>
      <c r="E46" s="7" t="str">
        <f t="shared" si="4"/>
        <v>31</v>
      </c>
    </row>
    <row r="47" spans="1:8" x14ac:dyDescent="0.25">
      <c r="A47" s="9" t="str">
        <f t="shared" si="2"/>
        <v>95 MAGAZINE INFO - CD1 YES, CD2 YES, CD3 NO, CD4 NO, CD5 NO, CD6 NO</v>
      </c>
      <c r="B47" t="s">
        <v>128</v>
      </c>
      <c r="C47" s="7" t="str">
        <f t="shared" si="3"/>
        <v>31</v>
      </c>
      <c r="D47" s="8" t="s">
        <v>109</v>
      </c>
      <c r="E47" s="7" t="str">
        <f t="shared" si="4"/>
        <v>10</v>
      </c>
    </row>
    <row r="48" spans="1:8" x14ac:dyDescent="0.25">
      <c r="A48" s="9" t="str">
        <f t="shared" si="2"/>
        <v>01 MASTER REQUEST - SLAVE POLL</v>
      </c>
      <c r="B48" t="s">
        <v>122</v>
      </c>
      <c r="C48" s="7" t="str">
        <f t="shared" si="3"/>
        <v>10</v>
      </c>
      <c r="D48" s="8" t="s">
        <v>109</v>
      </c>
      <c r="E48" s="7" t="str">
        <f t="shared" si="4"/>
        <v>31</v>
      </c>
    </row>
    <row r="49" spans="1:8" x14ac:dyDescent="0.25">
      <c r="A49" s="9" t="str">
        <f t="shared" si="2"/>
        <v>97 DISC INFO - TRACKS: 20, MINS: 46, SECS: 46, DISC: 1</v>
      </c>
      <c r="B49" t="s">
        <v>129</v>
      </c>
      <c r="C49" s="7" t="str">
        <f t="shared" si="3"/>
        <v>31</v>
      </c>
      <c r="D49" s="8" t="s">
        <v>109</v>
      </c>
      <c r="E49" s="7" t="str">
        <f t="shared" si="4"/>
        <v>10</v>
      </c>
    </row>
    <row r="50" spans="1:8" x14ac:dyDescent="0.25">
      <c r="A50" s="9" t="str">
        <f t="shared" si="2"/>
        <v>01 MASTER REQUEST - SLAVE POLL</v>
      </c>
      <c r="B50" t="s">
        <v>122</v>
      </c>
      <c r="C50" s="7" t="str">
        <f t="shared" si="3"/>
        <v>10</v>
      </c>
      <c r="D50" s="8" t="s">
        <v>109</v>
      </c>
      <c r="E50" s="7" t="str">
        <f t="shared" si="4"/>
        <v>31</v>
      </c>
    </row>
    <row r="51" spans="1:8" x14ac:dyDescent="0.25">
      <c r="A51" s="9" t="str">
        <f t="shared" si="2"/>
        <v>94 Configuration change - Mute OFF, Loudness OFF, Phone unmuted</v>
      </c>
      <c r="B51" t="s">
        <v>139</v>
      </c>
      <c r="C51" s="7" t="str">
        <f t="shared" si="3"/>
        <v>31</v>
      </c>
      <c r="D51" s="8" t="s">
        <v>109</v>
      </c>
      <c r="E51" s="7" t="str">
        <f t="shared" si="4"/>
        <v>70</v>
      </c>
      <c r="G51" s="5"/>
      <c r="H51" s="5"/>
    </row>
    <row r="52" spans="1:8" x14ac:dyDescent="0.25">
      <c r="A52" s="9" t="str">
        <f t="shared" si="2"/>
        <v>01 MASTER REQUEST - SLAVE POLL</v>
      </c>
      <c r="B52" t="s">
        <v>122</v>
      </c>
      <c r="C52" s="7" t="str">
        <f t="shared" si="3"/>
        <v>10</v>
      </c>
      <c r="D52" s="8" t="s">
        <v>109</v>
      </c>
      <c r="E52" s="7" t="str">
        <f t="shared" si="4"/>
        <v>31</v>
      </c>
      <c r="G52" s="5"/>
      <c r="H52" s="5"/>
    </row>
    <row r="53" spans="1:8" x14ac:dyDescent="0.25">
      <c r="A53" s="9" t="str">
        <f t="shared" si="2"/>
        <v>00 STATUS - CHANGED CD</v>
      </c>
      <c r="B53" t="s">
        <v>124</v>
      </c>
      <c r="C53" s="7" t="str">
        <f t="shared" si="3"/>
        <v>31</v>
      </c>
      <c r="D53" s="8" t="s">
        <v>109</v>
      </c>
      <c r="E53" s="7" t="str">
        <f t="shared" si="4"/>
        <v>10</v>
      </c>
      <c r="G53" s="5"/>
      <c r="H53" s="5"/>
    </row>
    <row r="54" spans="1:8" x14ac:dyDescent="0.25">
      <c r="A54" s="9" t="str">
        <f t="shared" si="2"/>
        <v>84 REQUEST MORE TEXT FIELDS - SEND MAGAZINE INFO</v>
      </c>
      <c r="B54" t="s">
        <v>125</v>
      </c>
      <c r="C54" s="7" t="str">
        <f t="shared" si="3"/>
        <v>10</v>
      </c>
      <c r="D54" s="8" t="s">
        <v>109</v>
      </c>
      <c r="E54" s="7" t="str">
        <f t="shared" si="4"/>
        <v>31</v>
      </c>
      <c r="G54" s="5"/>
      <c r="H54" s="5"/>
    </row>
    <row r="55" spans="1:8" x14ac:dyDescent="0.25">
      <c r="A55" s="9" t="str">
        <f t="shared" si="2"/>
        <v>01 MASTER REQUEST - TIME POLL</v>
      </c>
      <c r="B55" t="s">
        <v>126</v>
      </c>
      <c r="C55" s="7" t="str">
        <f t="shared" si="3"/>
        <v>10</v>
      </c>
      <c r="D55" s="8" t="s">
        <v>109</v>
      </c>
      <c r="E55" s="7" t="str">
        <f t="shared" si="4"/>
        <v>31</v>
      </c>
      <c r="G55" s="5"/>
      <c r="H55" s="5"/>
    </row>
    <row r="56" spans="1:8" x14ac:dyDescent="0.25">
      <c r="A56" s="9" t="str">
        <f t="shared" si="2"/>
        <v>00 STATUS - CHANGED CD</v>
      </c>
      <c r="B56" t="s">
        <v>124</v>
      </c>
      <c r="C56" s="7" t="str">
        <f t="shared" si="3"/>
        <v>31</v>
      </c>
      <c r="D56" s="8" t="s">
        <v>109</v>
      </c>
      <c r="E56" s="7" t="str">
        <f t="shared" si="4"/>
        <v>10</v>
      </c>
      <c r="G56" s="5"/>
      <c r="H56" s="5"/>
    </row>
    <row r="57" spans="1:8" x14ac:dyDescent="0.25">
      <c r="A57" s="9" t="str">
        <f t="shared" si="2"/>
        <v>84 REQUEST MORE TEXT FIELDS - SEND DISC INFO</v>
      </c>
      <c r="B57" t="s">
        <v>127</v>
      </c>
      <c r="C57" s="7" t="str">
        <f t="shared" si="3"/>
        <v>10</v>
      </c>
      <c r="D57" s="8" t="s">
        <v>109</v>
      </c>
      <c r="E57" s="7" t="str">
        <f t="shared" si="4"/>
        <v>31</v>
      </c>
      <c r="G57" s="5"/>
      <c r="H57" s="5"/>
    </row>
    <row r="58" spans="1:8" x14ac:dyDescent="0.25">
      <c r="A58" s="9" t="str">
        <f t="shared" si="2"/>
        <v>01 MASTER REQUEST - SLAVE POLL</v>
      </c>
      <c r="B58" t="s">
        <v>136</v>
      </c>
      <c r="C58" s="7" t="str">
        <f t="shared" si="3"/>
        <v>10</v>
      </c>
      <c r="D58" s="8" t="s">
        <v>109</v>
      </c>
      <c r="E58" s="7" t="str">
        <f t="shared" si="4"/>
        <v>31</v>
      </c>
      <c r="G58" s="5"/>
      <c r="H58" s="5"/>
    </row>
    <row r="59" spans="1:8" x14ac:dyDescent="0.25">
      <c r="A59" s="9" t="str">
        <f t="shared" si="2"/>
        <v>95 MAGAZINE INFO - CD1 YES, CD2 YES, CD3 NO, CD4 NO, CD5 NO, CD6 NO</v>
      </c>
      <c r="B59" t="s">
        <v>128</v>
      </c>
      <c r="C59" s="7" t="str">
        <f t="shared" si="3"/>
        <v>31</v>
      </c>
      <c r="D59" s="8" t="s">
        <v>109</v>
      </c>
      <c r="E59" s="7" t="str">
        <f t="shared" si="4"/>
        <v>10</v>
      </c>
      <c r="G59" s="5"/>
      <c r="H59" s="5"/>
    </row>
    <row r="60" spans="1:8" x14ac:dyDescent="0.25">
      <c r="A60" s="9" t="str">
        <f t="shared" si="2"/>
        <v>01 MASTER REQUEST - SLAVE POLL</v>
      </c>
      <c r="B60" t="s">
        <v>122</v>
      </c>
      <c r="C60" s="7" t="str">
        <f t="shared" si="3"/>
        <v>10</v>
      </c>
      <c r="D60" s="8" t="s">
        <v>109</v>
      </c>
      <c r="E60" s="7" t="str">
        <f t="shared" si="4"/>
        <v>31</v>
      </c>
      <c r="G60" s="5"/>
      <c r="H60" s="5"/>
    </row>
    <row r="61" spans="1:8" x14ac:dyDescent="0.25">
      <c r="A61" s="9" t="str">
        <f t="shared" si="2"/>
        <v>97 DISC INFO - TRACKS: 20, MINS: 79, SECS: 46, DISC: 1</v>
      </c>
      <c r="B61" t="s">
        <v>140</v>
      </c>
      <c r="C61" s="7" t="str">
        <f t="shared" si="3"/>
        <v>31</v>
      </c>
      <c r="D61" s="8" t="s">
        <v>109</v>
      </c>
      <c r="E61" s="7" t="str">
        <f t="shared" si="4"/>
        <v>10</v>
      </c>
      <c r="G61" s="5"/>
    </row>
    <row r="62" spans="1:8" x14ac:dyDescent="0.25">
      <c r="A62" s="9" t="str">
        <f t="shared" si="2"/>
        <v>21 SWITCH TO CD?</v>
      </c>
      <c r="B62" t="s">
        <v>120</v>
      </c>
      <c r="C62" s="7" t="str">
        <f t="shared" si="3"/>
        <v>11</v>
      </c>
      <c r="D62" s="8" t="s">
        <v>109</v>
      </c>
      <c r="E62" s="7" t="str">
        <f t="shared" si="4"/>
        <v>31</v>
      </c>
      <c r="G62" s="5"/>
    </row>
    <row r="63" spans="1:8" x14ac:dyDescent="0.25">
      <c r="A63" s="9" t="str">
        <f t="shared" si="2"/>
        <v>08 KEY RELEASED</v>
      </c>
      <c r="B63" t="s">
        <v>131</v>
      </c>
      <c r="C63" s="7" t="str">
        <f t="shared" si="3"/>
        <v>11</v>
      </c>
      <c r="D63" s="8" t="s">
        <v>109</v>
      </c>
      <c r="E63" s="7" t="str">
        <f t="shared" si="4"/>
        <v>18</v>
      </c>
      <c r="G63" s="5"/>
    </row>
    <row r="64" spans="1:8" x14ac:dyDescent="0.25">
      <c r="A64" s="9" t="str">
        <f t="shared" si="2"/>
        <v>01 MASTER REQUEST - SLAVE POLL</v>
      </c>
      <c r="B64" t="s">
        <v>122</v>
      </c>
      <c r="C64" s="7" t="str">
        <f t="shared" si="3"/>
        <v>10</v>
      </c>
      <c r="D64" s="8" t="s">
        <v>109</v>
      </c>
      <c r="E64" s="7" t="str">
        <f t="shared" si="4"/>
        <v>31</v>
      </c>
      <c r="G64" s="5"/>
    </row>
    <row r="65" spans="1:7" x14ac:dyDescent="0.25">
      <c r="A65" s="9" t="str">
        <f t="shared" si="2"/>
        <v>94 Configuration change - Mute OFF, Loudness OFF, Phone unmuted</v>
      </c>
      <c r="B65" t="s">
        <v>138</v>
      </c>
      <c r="C65" s="7" t="str">
        <f t="shared" si="3"/>
        <v>31</v>
      </c>
      <c r="D65" s="8" t="s">
        <v>109</v>
      </c>
      <c r="E65" s="7" t="str">
        <f t="shared" si="4"/>
        <v>77</v>
      </c>
      <c r="G65" s="5"/>
    </row>
    <row r="66" spans="1:7" x14ac:dyDescent="0.25">
      <c r="A66" s="9" t="str">
        <f t="shared" si="2"/>
        <v>01 MASTER REQUEST - SLAVE POLL</v>
      </c>
      <c r="B66" t="s">
        <v>122</v>
      </c>
      <c r="C66" s="7" t="str">
        <f t="shared" si="3"/>
        <v>10</v>
      </c>
      <c r="D66" s="8" t="s">
        <v>109</v>
      </c>
      <c r="E66" s="7" t="str">
        <f t="shared" si="4"/>
        <v>31</v>
      </c>
      <c r="G66" s="5"/>
    </row>
    <row r="67" spans="1:7" x14ac:dyDescent="0.25">
      <c r="A67" s="9" t="str">
        <f t="shared" ref="A67:A130" si="5">ParseUnilink(B67)</f>
        <v>00 STATUS - CHANGED CD</v>
      </c>
      <c r="B67" t="s">
        <v>124</v>
      </c>
      <c r="C67" s="7" t="str">
        <f t="shared" ref="C67:C130" si="6">MID(B67,4,2)</f>
        <v>31</v>
      </c>
      <c r="D67" s="8" t="s">
        <v>109</v>
      </c>
      <c r="E67" s="7" t="str">
        <f t="shared" ref="E67:E130" si="7">MID(B67,1,2)</f>
        <v>10</v>
      </c>
      <c r="G67" s="5"/>
    </row>
    <row r="68" spans="1:7" x14ac:dyDescent="0.25">
      <c r="A68" s="9" t="str">
        <f t="shared" si="5"/>
        <v>84 REQUEST MORE TEXT FIELDS - SEND MAGAZINE INFO</v>
      </c>
      <c r="B68" t="s">
        <v>125</v>
      </c>
      <c r="C68" s="7" t="str">
        <f t="shared" si="6"/>
        <v>10</v>
      </c>
      <c r="D68" s="8" t="s">
        <v>109</v>
      </c>
      <c r="E68" s="7" t="str">
        <f t="shared" si="7"/>
        <v>31</v>
      </c>
      <c r="G68" s="5"/>
    </row>
    <row r="69" spans="1:7" x14ac:dyDescent="0.25">
      <c r="A69" s="9" t="str">
        <f t="shared" si="5"/>
        <v>01 MASTER REQUEST - TIME POLL</v>
      </c>
      <c r="B69" t="s">
        <v>126</v>
      </c>
      <c r="C69" s="7" t="str">
        <f t="shared" si="6"/>
        <v>10</v>
      </c>
      <c r="D69" s="8" t="s">
        <v>109</v>
      </c>
      <c r="E69" s="7" t="str">
        <f t="shared" si="7"/>
        <v>31</v>
      </c>
      <c r="G69" s="5"/>
    </row>
    <row r="70" spans="1:7" x14ac:dyDescent="0.25">
      <c r="A70" s="9" t="str">
        <f t="shared" si="5"/>
        <v>00 STATUS - CHANGED CD</v>
      </c>
      <c r="B70" t="s">
        <v>124</v>
      </c>
      <c r="C70" s="7" t="str">
        <f t="shared" si="6"/>
        <v>31</v>
      </c>
      <c r="D70" s="8" t="s">
        <v>109</v>
      </c>
      <c r="E70" s="7" t="str">
        <f t="shared" si="7"/>
        <v>10</v>
      </c>
      <c r="G70" s="5"/>
    </row>
    <row r="71" spans="1:7" x14ac:dyDescent="0.25">
      <c r="A71" s="9" t="str">
        <f t="shared" si="5"/>
        <v>84 REQUEST MORE TEXT FIELDS - SEND DISC INFO</v>
      </c>
      <c r="B71" t="s">
        <v>127</v>
      </c>
      <c r="C71" s="7" t="str">
        <f t="shared" si="6"/>
        <v>10</v>
      </c>
      <c r="D71" s="8" t="s">
        <v>109</v>
      </c>
      <c r="E71" s="7" t="str">
        <f t="shared" si="7"/>
        <v>31</v>
      </c>
      <c r="G71" s="5"/>
    </row>
    <row r="72" spans="1:7" x14ac:dyDescent="0.25">
      <c r="A72" s="9" t="str">
        <f t="shared" si="5"/>
        <v>01 MASTER REQUEST - SLAVE POLL</v>
      </c>
      <c r="B72" t="s">
        <v>122</v>
      </c>
      <c r="C72" s="7" t="str">
        <f t="shared" si="6"/>
        <v>10</v>
      </c>
      <c r="D72" s="8" t="s">
        <v>109</v>
      </c>
      <c r="E72" s="7" t="str">
        <f t="shared" si="7"/>
        <v>31</v>
      </c>
      <c r="G72" s="5"/>
    </row>
    <row r="73" spans="1:7" x14ac:dyDescent="0.25">
      <c r="A73" s="9" t="str">
        <f t="shared" si="5"/>
        <v>95 MAGAZINE INFO - CD1 YES, CD2 YES, CD3 NO, CD4 NO, CD5 NO, CD6 NO</v>
      </c>
      <c r="B73" t="s">
        <v>128</v>
      </c>
      <c r="C73" s="7" t="str">
        <f t="shared" si="6"/>
        <v>31</v>
      </c>
      <c r="D73" s="8" t="s">
        <v>109</v>
      </c>
      <c r="E73" s="7" t="str">
        <f t="shared" si="7"/>
        <v>10</v>
      </c>
      <c r="G73" s="5"/>
    </row>
    <row r="74" spans="1:7" x14ac:dyDescent="0.25">
      <c r="A74" s="9" t="str">
        <f t="shared" si="5"/>
        <v>01 MASTER REQUEST - SLAVE POLL</v>
      </c>
      <c r="B74" t="s">
        <v>122</v>
      </c>
      <c r="C74" s="7" t="str">
        <f t="shared" si="6"/>
        <v>10</v>
      </c>
      <c r="D74" s="8" t="s">
        <v>109</v>
      </c>
      <c r="E74" s="7" t="str">
        <f t="shared" si="7"/>
        <v>31</v>
      </c>
      <c r="G74" s="5"/>
    </row>
    <row r="75" spans="1:7" x14ac:dyDescent="0.25">
      <c r="A75" s="9" t="str">
        <f t="shared" si="5"/>
        <v>97 DISC INFO - TRACKS: 20, MINS: 79, SECS: 46, DISC: 1</v>
      </c>
      <c r="B75" t="s">
        <v>140</v>
      </c>
      <c r="C75" s="7" t="str">
        <f t="shared" si="6"/>
        <v>31</v>
      </c>
      <c r="D75" s="8" t="s">
        <v>109</v>
      </c>
      <c r="E75" s="7" t="str">
        <f t="shared" si="7"/>
        <v>10</v>
      </c>
      <c r="G75" s="5"/>
    </row>
    <row r="76" spans="1:7" x14ac:dyDescent="0.25">
      <c r="A76" s="9" t="str">
        <f t="shared" si="5"/>
        <v>01 MASTER REQUEST - SLAVE POLL</v>
      </c>
      <c r="B76" t="s">
        <v>122</v>
      </c>
      <c r="C76" s="7" t="str">
        <f t="shared" si="6"/>
        <v>10</v>
      </c>
      <c r="D76" s="8" t="s">
        <v>109</v>
      </c>
      <c r="E76" s="7" t="str">
        <f t="shared" si="7"/>
        <v>31</v>
      </c>
    </row>
    <row r="77" spans="1:7" x14ac:dyDescent="0.25">
      <c r="A77" s="9" t="str">
        <f t="shared" si="5"/>
        <v>01 MASTER REQUEST - SLAVE POLL</v>
      </c>
      <c r="B77" t="s">
        <v>122</v>
      </c>
      <c r="C77" s="7" t="str">
        <f t="shared" si="6"/>
        <v>10</v>
      </c>
      <c r="D77" s="8" t="s">
        <v>109</v>
      </c>
      <c r="E77" s="7" t="str">
        <f t="shared" si="7"/>
        <v>31</v>
      </c>
    </row>
    <row r="78" spans="1:7" x14ac:dyDescent="0.25">
      <c r="A78" s="9" t="str">
        <f t="shared" si="5"/>
        <v>00 STATUS - PLAYING</v>
      </c>
      <c r="B78" t="s">
        <v>141</v>
      </c>
      <c r="C78" s="7" t="str">
        <f t="shared" si="6"/>
        <v>31</v>
      </c>
      <c r="D78" s="8" t="s">
        <v>109</v>
      </c>
      <c r="E78" s="7" t="str">
        <f t="shared" si="7"/>
        <v>10</v>
      </c>
    </row>
    <row r="79" spans="1:7" x14ac:dyDescent="0.25">
      <c r="A79" s="9" t="str">
        <f t="shared" si="5"/>
        <v>84 REQUEST MORE TEXT FIELDS - SEND MAGAZINE INFO</v>
      </c>
      <c r="B79" t="s">
        <v>125</v>
      </c>
      <c r="C79" s="7" t="str">
        <f t="shared" si="6"/>
        <v>10</v>
      </c>
      <c r="D79" s="8" t="s">
        <v>109</v>
      </c>
      <c r="E79" s="7" t="str">
        <f t="shared" si="7"/>
        <v>31</v>
      </c>
    </row>
    <row r="80" spans="1:7" x14ac:dyDescent="0.25">
      <c r="A80" s="9" t="str">
        <f t="shared" si="5"/>
        <v>01 MASTER REQUEST - TIME POLL</v>
      </c>
      <c r="B80" t="s">
        <v>126</v>
      </c>
      <c r="C80" s="7" t="str">
        <f t="shared" si="6"/>
        <v>10</v>
      </c>
      <c r="D80" s="8" t="s">
        <v>109</v>
      </c>
      <c r="E80" s="7" t="str">
        <f t="shared" si="7"/>
        <v>31</v>
      </c>
    </row>
    <row r="81" spans="1:5" x14ac:dyDescent="0.25">
      <c r="A81" s="9" t="str">
        <f t="shared" si="5"/>
        <v>00 STATUS - PLAYING</v>
      </c>
      <c r="B81" t="s">
        <v>141</v>
      </c>
      <c r="C81" s="7" t="str">
        <f t="shared" si="6"/>
        <v>31</v>
      </c>
      <c r="D81" s="8" t="s">
        <v>109</v>
      </c>
      <c r="E81" s="7" t="str">
        <f t="shared" si="7"/>
        <v>10</v>
      </c>
    </row>
    <row r="82" spans="1:5" x14ac:dyDescent="0.25">
      <c r="A82" s="9" t="str">
        <f t="shared" si="5"/>
        <v>84 REQUEST MORE TEXT FIELDS - SEND DISC INFO</v>
      </c>
      <c r="B82" t="s">
        <v>127</v>
      </c>
      <c r="C82" s="7" t="str">
        <f t="shared" si="6"/>
        <v>10</v>
      </c>
      <c r="D82" s="8" t="s">
        <v>109</v>
      </c>
      <c r="E82" s="7" t="str">
        <f t="shared" si="7"/>
        <v>31</v>
      </c>
    </row>
    <row r="83" spans="1:5" x14ac:dyDescent="0.25">
      <c r="A83" s="9" t="str">
        <f t="shared" si="5"/>
        <v>01 MASTER REQUEST - SLAVE POLL</v>
      </c>
      <c r="B83" t="s">
        <v>122</v>
      </c>
      <c r="C83" s="7" t="str">
        <f t="shared" si="6"/>
        <v>10</v>
      </c>
      <c r="D83" s="8" t="s">
        <v>109</v>
      </c>
      <c r="E83" s="7" t="str">
        <f t="shared" si="7"/>
        <v>31</v>
      </c>
    </row>
    <row r="84" spans="1:5" x14ac:dyDescent="0.25">
      <c r="A84" s="9" t="str">
        <f t="shared" si="5"/>
        <v>95 MAGAZINE INFO - CD1 YES, CD2 YES, CD3 NO, CD4 NO, CD5 NO, CD6 NO</v>
      </c>
      <c r="B84" t="s">
        <v>128</v>
      </c>
      <c r="C84" s="7" t="str">
        <f t="shared" si="6"/>
        <v>31</v>
      </c>
      <c r="D84" s="8" t="s">
        <v>109</v>
      </c>
      <c r="E84" s="7" t="str">
        <f t="shared" si="7"/>
        <v>10</v>
      </c>
    </row>
    <row r="85" spans="1:5" x14ac:dyDescent="0.25">
      <c r="A85" s="9" t="str">
        <f t="shared" si="5"/>
        <v>01 MASTER REQUEST - SLAVE POLL</v>
      </c>
      <c r="B85" t="s">
        <v>122</v>
      </c>
      <c r="C85" s="7" t="str">
        <f t="shared" si="6"/>
        <v>10</v>
      </c>
      <c r="D85" s="8" t="s">
        <v>109</v>
      </c>
      <c r="E85" s="7" t="str">
        <f t="shared" si="7"/>
        <v>31</v>
      </c>
    </row>
    <row r="86" spans="1:5" x14ac:dyDescent="0.25">
      <c r="A86" s="9" t="str">
        <f t="shared" si="5"/>
        <v>97 DISC INFO - TRACKS: 20, MINS: 79, SECS: 46, DISC: 1</v>
      </c>
      <c r="B86" t="s">
        <v>140</v>
      </c>
      <c r="C86" s="7" t="str">
        <f t="shared" si="6"/>
        <v>31</v>
      </c>
      <c r="D86" s="8" t="s">
        <v>109</v>
      </c>
      <c r="E86" s="7" t="str">
        <f t="shared" si="7"/>
        <v>10</v>
      </c>
    </row>
    <row r="87" spans="1:5" x14ac:dyDescent="0.25">
      <c r="A87" s="9" t="str">
        <f t="shared" si="5"/>
        <v>01 MASTER REQUEST - SLAVE POLL</v>
      </c>
      <c r="B87" t="s">
        <v>122</v>
      </c>
      <c r="C87" s="7" t="str">
        <f t="shared" si="6"/>
        <v>10</v>
      </c>
      <c r="D87" s="8" t="s">
        <v>109</v>
      </c>
      <c r="E87" s="7" t="str">
        <f t="shared" si="7"/>
        <v>31</v>
      </c>
    </row>
    <row r="88" spans="1:5" x14ac:dyDescent="0.25">
      <c r="A88" s="9" t="str">
        <f t="shared" si="5"/>
        <v>90 TIME- TRACK: 02, 03:23, DISC: 1</v>
      </c>
      <c r="B88" t="s">
        <v>142</v>
      </c>
      <c r="C88" s="7" t="str">
        <f t="shared" si="6"/>
        <v>31</v>
      </c>
      <c r="D88" s="8" t="s">
        <v>109</v>
      </c>
      <c r="E88" s="7" t="str">
        <f t="shared" si="7"/>
        <v>70</v>
      </c>
    </row>
    <row r="89" spans="1:5" x14ac:dyDescent="0.25">
      <c r="A89" s="9" t="str">
        <f t="shared" si="5"/>
        <v>84 REQUEST MORE TEXT FIELDS - SEND MAGAZINE INFO</v>
      </c>
      <c r="B89" t="s">
        <v>125</v>
      </c>
      <c r="C89" s="7" t="str">
        <f t="shared" si="6"/>
        <v>10</v>
      </c>
      <c r="D89" s="8" t="s">
        <v>109</v>
      </c>
      <c r="E89" s="7" t="str">
        <f t="shared" si="7"/>
        <v>31</v>
      </c>
    </row>
    <row r="90" spans="1:5" x14ac:dyDescent="0.25">
      <c r="A90" s="9" t="str">
        <f t="shared" si="5"/>
        <v>01 MASTER REQUEST - TIME POLL</v>
      </c>
      <c r="B90" t="s">
        <v>126</v>
      </c>
      <c r="C90" s="7" t="str">
        <f t="shared" si="6"/>
        <v>10</v>
      </c>
      <c r="D90" s="8" t="s">
        <v>109</v>
      </c>
      <c r="E90" s="7" t="str">
        <f t="shared" si="7"/>
        <v>31</v>
      </c>
    </row>
    <row r="91" spans="1:5" x14ac:dyDescent="0.25">
      <c r="A91" s="9" t="str">
        <f t="shared" si="5"/>
        <v>00 STATUS - PLAYING</v>
      </c>
      <c r="B91" t="s">
        <v>141</v>
      </c>
      <c r="C91" s="7" t="str">
        <f t="shared" si="6"/>
        <v>31</v>
      </c>
      <c r="D91" s="8" t="s">
        <v>109</v>
      </c>
      <c r="E91" s="7" t="str">
        <f t="shared" si="7"/>
        <v>10</v>
      </c>
    </row>
    <row r="92" spans="1:5" x14ac:dyDescent="0.25">
      <c r="A92" s="9" t="str">
        <f t="shared" si="5"/>
        <v>84 REQUEST MORE TEXT FIELDS - SEND DISC INFO</v>
      </c>
      <c r="B92" t="s">
        <v>127</v>
      </c>
      <c r="C92" s="7" t="str">
        <f t="shared" si="6"/>
        <v>10</v>
      </c>
      <c r="D92" s="8" t="s">
        <v>109</v>
      </c>
      <c r="E92" s="7" t="str">
        <f t="shared" si="7"/>
        <v>31</v>
      </c>
    </row>
    <row r="93" spans="1:5" x14ac:dyDescent="0.25">
      <c r="A93" s="9" t="str">
        <f t="shared" si="5"/>
        <v>01 MASTER REQUEST - SLAVE POLL</v>
      </c>
      <c r="B93" t="s">
        <v>122</v>
      </c>
      <c r="C93" s="7" t="str">
        <f t="shared" si="6"/>
        <v>10</v>
      </c>
      <c r="D93" s="8" t="s">
        <v>109</v>
      </c>
      <c r="E93" s="7" t="str">
        <f t="shared" si="7"/>
        <v>31</v>
      </c>
    </row>
    <row r="94" spans="1:5" x14ac:dyDescent="0.25">
      <c r="A94" s="9" t="str">
        <f t="shared" si="5"/>
        <v>95 MAGAZINE INFO - CD1 YES, CD2 YES, CD3 NO, CD4 NO, CD5 NO, CD6 NO</v>
      </c>
      <c r="B94" t="s">
        <v>128</v>
      </c>
      <c r="C94" s="7" t="str">
        <f t="shared" si="6"/>
        <v>31</v>
      </c>
      <c r="D94" s="8" t="s">
        <v>109</v>
      </c>
      <c r="E94" s="7" t="str">
        <f t="shared" si="7"/>
        <v>10</v>
      </c>
    </row>
    <row r="95" spans="1:5" x14ac:dyDescent="0.25">
      <c r="A95" s="9" t="str">
        <f t="shared" si="5"/>
        <v>01 MASTER REQUEST - SLAVE POLL</v>
      </c>
      <c r="B95" t="s">
        <v>122</v>
      </c>
      <c r="C95" s="7" t="str">
        <f t="shared" si="6"/>
        <v>10</v>
      </c>
      <c r="D95" s="8" t="s">
        <v>109</v>
      </c>
      <c r="E95" s="7" t="str">
        <f t="shared" si="7"/>
        <v>31</v>
      </c>
    </row>
    <row r="96" spans="1:5" x14ac:dyDescent="0.25">
      <c r="A96" s="9" t="str">
        <f t="shared" si="5"/>
        <v>90 TIME- TRACK: 02, 03:24, DISC: 1</v>
      </c>
      <c r="B96" t="s">
        <v>143</v>
      </c>
      <c r="C96" s="7" t="str">
        <f t="shared" si="6"/>
        <v>31</v>
      </c>
      <c r="D96" s="8" t="s">
        <v>109</v>
      </c>
      <c r="E96" s="7" t="str">
        <f t="shared" si="7"/>
        <v>70</v>
      </c>
    </row>
    <row r="97" spans="1:5" x14ac:dyDescent="0.25">
      <c r="A97" s="9" t="str">
        <f t="shared" si="5"/>
        <v>01 MASTER REQUEST - SLAVE POLL</v>
      </c>
      <c r="B97" t="s">
        <v>122</v>
      </c>
      <c r="C97" s="7" t="str">
        <f t="shared" si="6"/>
        <v>10</v>
      </c>
      <c r="D97" s="8" t="s">
        <v>109</v>
      </c>
      <c r="E97" s="7" t="str">
        <f t="shared" si="7"/>
        <v>31</v>
      </c>
    </row>
    <row r="98" spans="1:5" x14ac:dyDescent="0.25">
      <c r="A98" s="9" t="str">
        <f t="shared" si="5"/>
        <v>97 DISC INFO - TRACKS: 20, MINS: 79, SECS: 46, DISC: 1</v>
      </c>
      <c r="B98" t="s">
        <v>140</v>
      </c>
      <c r="C98" s="7" t="str">
        <f t="shared" si="6"/>
        <v>31</v>
      </c>
      <c r="D98" s="8" t="s">
        <v>109</v>
      </c>
      <c r="E98" s="7" t="str">
        <f t="shared" si="7"/>
        <v>10</v>
      </c>
    </row>
    <row r="99" spans="1:5" x14ac:dyDescent="0.25">
      <c r="A99" s="9" t="str">
        <f t="shared" si="5"/>
        <v>01 MASTER REQUEST - SLAVE POLL</v>
      </c>
      <c r="B99" t="s">
        <v>122</v>
      </c>
      <c r="C99" s="7" t="str">
        <f t="shared" si="6"/>
        <v>10</v>
      </c>
      <c r="D99" s="8" t="s">
        <v>109</v>
      </c>
      <c r="E99" s="7" t="str">
        <f t="shared" si="7"/>
        <v>31</v>
      </c>
    </row>
    <row r="100" spans="1:5" x14ac:dyDescent="0.25">
      <c r="A100" s="9" t="str">
        <f t="shared" si="5"/>
        <v>00 STATUS - PLAYING</v>
      </c>
      <c r="B100" t="s">
        <v>141</v>
      </c>
      <c r="C100" s="7" t="str">
        <f t="shared" si="6"/>
        <v>31</v>
      </c>
      <c r="D100" s="8" t="s">
        <v>109</v>
      </c>
      <c r="E100" s="7" t="str">
        <f t="shared" si="7"/>
        <v>10</v>
      </c>
    </row>
    <row r="101" spans="1:5" x14ac:dyDescent="0.25">
      <c r="A101" s="9" t="str">
        <f t="shared" si="5"/>
        <v>01 MASTER REQUEST - SLAVE POLL</v>
      </c>
      <c r="B101" t="s">
        <v>122</v>
      </c>
      <c r="C101" s="7" t="str">
        <f t="shared" si="6"/>
        <v>10</v>
      </c>
      <c r="D101" s="8" t="s">
        <v>109</v>
      </c>
      <c r="E101" s="7" t="str">
        <f t="shared" si="7"/>
        <v>31</v>
      </c>
    </row>
    <row r="102" spans="1:5" x14ac:dyDescent="0.25">
      <c r="A102" s="9" t="str">
        <f t="shared" si="5"/>
        <v>01 MASTER REQUEST - SLAVE POLL</v>
      </c>
      <c r="B102" t="s">
        <v>122</v>
      </c>
      <c r="C102" s="7" t="str">
        <f t="shared" si="6"/>
        <v>10</v>
      </c>
      <c r="D102" s="8" t="s">
        <v>109</v>
      </c>
      <c r="E102" s="7" t="str">
        <f t="shared" si="7"/>
        <v>31</v>
      </c>
    </row>
    <row r="103" spans="1:5" x14ac:dyDescent="0.25">
      <c r="A103" s="9" t="str">
        <f t="shared" si="5"/>
        <v>00 STATUS - PLAYING</v>
      </c>
      <c r="B103" t="s">
        <v>141</v>
      </c>
      <c r="C103" s="7" t="str">
        <f t="shared" si="6"/>
        <v>31</v>
      </c>
      <c r="D103" s="8" t="s">
        <v>109</v>
      </c>
      <c r="E103" s="7" t="str">
        <f t="shared" si="7"/>
        <v>10</v>
      </c>
    </row>
    <row r="104" spans="1:5" x14ac:dyDescent="0.25">
      <c r="A104" s="9" t="str">
        <f t="shared" si="5"/>
        <v>01 MASTER REQUEST - SLAVE POLL</v>
      </c>
      <c r="B104" t="s">
        <v>122</v>
      </c>
      <c r="C104" s="7" t="str">
        <f t="shared" si="6"/>
        <v>10</v>
      </c>
      <c r="D104" s="8" t="s">
        <v>109</v>
      </c>
      <c r="E104" s="7" t="str">
        <f t="shared" si="7"/>
        <v>31</v>
      </c>
    </row>
    <row r="105" spans="1:5" x14ac:dyDescent="0.25">
      <c r="A105" s="9" t="str">
        <f t="shared" si="5"/>
        <v>90 TIME- TRACK: 02, 03:25, DISC: 1</v>
      </c>
      <c r="B105" t="s">
        <v>144</v>
      </c>
      <c r="C105" s="7" t="str">
        <f t="shared" si="6"/>
        <v>31</v>
      </c>
      <c r="D105" s="8" t="s">
        <v>109</v>
      </c>
      <c r="E105" s="7" t="str">
        <f t="shared" si="7"/>
        <v>70</v>
      </c>
    </row>
    <row r="106" spans="1:5" x14ac:dyDescent="0.25">
      <c r="A106" s="9" t="str">
        <f t="shared" si="5"/>
        <v>01 MASTER REQUEST - SLAVE POLL</v>
      </c>
      <c r="B106" t="s">
        <v>122</v>
      </c>
      <c r="C106" s="7" t="str">
        <f t="shared" si="6"/>
        <v>10</v>
      </c>
      <c r="D106" s="8" t="s">
        <v>109</v>
      </c>
      <c r="E106" s="7" t="str">
        <f t="shared" si="7"/>
        <v>31</v>
      </c>
    </row>
    <row r="107" spans="1:5" x14ac:dyDescent="0.25">
      <c r="A107" s="9" t="str">
        <f t="shared" si="5"/>
        <v>00 STATUS - PLAYING</v>
      </c>
      <c r="B107" t="s">
        <v>141</v>
      </c>
      <c r="C107" s="7" t="str">
        <f t="shared" si="6"/>
        <v>31</v>
      </c>
      <c r="D107" s="8" t="s">
        <v>109</v>
      </c>
      <c r="E107" s="7" t="str">
        <f t="shared" si="7"/>
        <v>10</v>
      </c>
    </row>
    <row r="108" spans="1:5" x14ac:dyDescent="0.25">
      <c r="A108" s="9" t="str">
        <f t="shared" si="5"/>
        <v>84 REQUEST MORE TEXT FIELDS - SEND MAGAZINE INFO</v>
      </c>
      <c r="B108" t="s">
        <v>125</v>
      </c>
      <c r="C108" s="7" t="str">
        <f t="shared" si="6"/>
        <v>10</v>
      </c>
      <c r="D108" s="8" t="s">
        <v>109</v>
      </c>
      <c r="E108" s="7" t="str">
        <f t="shared" si="7"/>
        <v>31</v>
      </c>
    </row>
    <row r="109" spans="1:5" x14ac:dyDescent="0.25">
      <c r="A109" s="9" t="str">
        <f t="shared" si="5"/>
        <v>01 MASTER REQUEST - TIME POLL</v>
      </c>
      <c r="B109" t="s">
        <v>126</v>
      </c>
      <c r="C109" s="7" t="str">
        <f t="shared" si="6"/>
        <v>10</v>
      </c>
      <c r="D109" s="8" t="s">
        <v>109</v>
      </c>
      <c r="E109" s="7" t="str">
        <f t="shared" si="7"/>
        <v>31</v>
      </c>
    </row>
    <row r="110" spans="1:5" x14ac:dyDescent="0.25">
      <c r="A110" s="9" t="str">
        <f t="shared" si="5"/>
        <v>00 STATUS - PLAYING</v>
      </c>
      <c r="B110" t="s">
        <v>141</v>
      </c>
      <c r="C110" s="7" t="str">
        <f t="shared" si="6"/>
        <v>31</v>
      </c>
      <c r="D110" s="8" t="s">
        <v>109</v>
      </c>
      <c r="E110" s="7" t="str">
        <f t="shared" si="7"/>
        <v>10</v>
      </c>
    </row>
    <row r="111" spans="1:5" x14ac:dyDescent="0.25">
      <c r="A111" s="9" t="str">
        <f t="shared" si="5"/>
        <v>84 REQUEST MORE TEXT FIELDS - SEND DISC INFO</v>
      </c>
      <c r="B111" t="s">
        <v>127</v>
      </c>
      <c r="C111" s="7" t="str">
        <f t="shared" si="6"/>
        <v>10</v>
      </c>
      <c r="D111" s="8" t="s">
        <v>109</v>
      </c>
      <c r="E111" s="7" t="str">
        <f t="shared" si="7"/>
        <v>31</v>
      </c>
    </row>
    <row r="112" spans="1:5" x14ac:dyDescent="0.25">
      <c r="A112" s="9" t="str">
        <f t="shared" si="5"/>
        <v>01 MASTER REQUEST - SLAVE POLL</v>
      </c>
      <c r="B112" t="s">
        <v>122</v>
      </c>
      <c r="C112" s="7" t="str">
        <f t="shared" si="6"/>
        <v>10</v>
      </c>
      <c r="D112" s="8" t="s">
        <v>109</v>
      </c>
      <c r="E112" s="7" t="str">
        <f t="shared" si="7"/>
        <v>31</v>
      </c>
    </row>
    <row r="113" spans="1:5" x14ac:dyDescent="0.25">
      <c r="A113" s="9" t="str">
        <f t="shared" si="5"/>
        <v>95 MAGAZINE INFO - CD1 YES, CD2 YES, CD3 NO, CD4 NO, CD5 NO, CD6 NO</v>
      </c>
      <c r="B113" t="s">
        <v>145</v>
      </c>
      <c r="C113" s="7" t="str">
        <f t="shared" si="6"/>
        <v>31</v>
      </c>
      <c r="D113" s="8" t="s">
        <v>109</v>
      </c>
      <c r="E113" s="7" t="str">
        <f t="shared" si="7"/>
        <v>10</v>
      </c>
    </row>
    <row r="114" spans="1:5" x14ac:dyDescent="0.25">
      <c r="A114" s="9" t="str">
        <f t="shared" si="5"/>
        <v>01 MASTER REQUEST - SLAVE POLL</v>
      </c>
      <c r="B114" t="s">
        <v>122</v>
      </c>
      <c r="C114" s="7" t="str">
        <f t="shared" si="6"/>
        <v>10</v>
      </c>
      <c r="D114" s="8" t="s">
        <v>109</v>
      </c>
      <c r="E114" s="7" t="str">
        <f t="shared" si="7"/>
        <v>31</v>
      </c>
    </row>
    <row r="115" spans="1:5" x14ac:dyDescent="0.25">
      <c r="A115" s="9" t="str">
        <f t="shared" si="5"/>
        <v>97 DISC INFO - TRACKS: 20, MINS: 79, SECS: 46, DISC: 1</v>
      </c>
      <c r="B115" t="s">
        <v>140</v>
      </c>
      <c r="C115" s="7" t="str">
        <f t="shared" si="6"/>
        <v>31</v>
      </c>
      <c r="D115" s="8" t="s">
        <v>109</v>
      </c>
      <c r="E115" s="7" t="str">
        <f t="shared" si="7"/>
        <v>10</v>
      </c>
    </row>
    <row r="116" spans="1:5" x14ac:dyDescent="0.25">
      <c r="A116" s="9" t="str">
        <f t="shared" si="5"/>
        <v>01 MASTER REQUEST - SLAVE POLL</v>
      </c>
      <c r="B116" t="s">
        <v>122</v>
      </c>
      <c r="C116" s="7" t="str">
        <f t="shared" si="6"/>
        <v>10</v>
      </c>
      <c r="D116" s="8" t="s">
        <v>109</v>
      </c>
      <c r="E116" s="7" t="str">
        <f t="shared" si="7"/>
        <v>31</v>
      </c>
    </row>
    <row r="117" spans="1:5" x14ac:dyDescent="0.25">
      <c r="A117" s="9" t="str">
        <f t="shared" si="5"/>
        <v>90 TIME- TRACK: 02, 03:26, DISC: 1</v>
      </c>
      <c r="B117" t="s">
        <v>146</v>
      </c>
      <c r="C117" s="7" t="str">
        <f t="shared" si="6"/>
        <v>31</v>
      </c>
      <c r="D117" s="8" t="s">
        <v>109</v>
      </c>
      <c r="E117" s="7" t="str">
        <f t="shared" si="7"/>
        <v>70</v>
      </c>
    </row>
    <row r="118" spans="1:5" x14ac:dyDescent="0.25">
      <c r="A118" s="9" t="str">
        <f t="shared" si="5"/>
        <v>01 MASTER REQUEST - SLAVE POLL</v>
      </c>
      <c r="B118" t="s">
        <v>122</v>
      </c>
      <c r="C118" s="7" t="str">
        <f t="shared" si="6"/>
        <v>10</v>
      </c>
      <c r="D118" s="8" t="s">
        <v>109</v>
      </c>
      <c r="E118" s="7" t="str">
        <f t="shared" si="7"/>
        <v>31</v>
      </c>
    </row>
    <row r="119" spans="1:5" x14ac:dyDescent="0.25">
      <c r="A119" s="9" t="str">
        <f t="shared" si="5"/>
        <v>00 STATUS - PLAYING</v>
      </c>
      <c r="B119" t="s">
        <v>141</v>
      </c>
      <c r="C119" s="7" t="str">
        <f t="shared" si="6"/>
        <v>31</v>
      </c>
      <c r="D119" s="8" t="s">
        <v>109</v>
      </c>
      <c r="E119" s="7" t="str">
        <f t="shared" si="7"/>
        <v>10</v>
      </c>
    </row>
    <row r="120" spans="1:5" x14ac:dyDescent="0.25">
      <c r="A120" s="9" t="str">
        <f t="shared" si="5"/>
        <v>84 REQUEST MORE TEXT FIELDS - SEND MAGAZINE INFO</v>
      </c>
      <c r="B120" t="s">
        <v>125</v>
      </c>
      <c r="C120" s="7" t="str">
        <f t="shared" si="6"/>
        <v>10</v>
      </c>
      <c r="D120" s="8" t="s">
        <v>109</v>
      </c>
      <c r="E120" s="7" t="str">
        <f t="shared" si="7"/>
        <v>31</v>
      </c>
    </row>
    <row r="121" spans="1:5" x14ac:dyDescent="0.25">
      <c r="A121" s="9" t="str">
        <f t="shared" si="5"/>
        <v>01 MASTER REQUEST - TIME POLL</v>
      </c>
      <c r="B121" t="s">
        <v>126</v>
      </c>
      <c r="C121" s="7" t="str">
        <f t="shared" si="6"/>
        <v>10</v>
      </c>
      <c r="D121" s="8" t="s">
        <v>109</v>
      </c>
      <c r="E121" s="7" t="str">
        <f t="shared" si="7"/>
        <v>31</v>
      </c>
    </row>
    <row r="122" spans="1:5" x14ac:dyDescent="0.25">
      <c r="A122" s="9" t="str">
        <f t="shared" si="5"/>
        <v>00 STATUS - PLAYING</v>
      </c>
      <c r="B122" t="s">
        <v>141</v>
      </c>
      <c r="C122" s="7" t="str">
        <f t="shared" si="6"/>
        <v>31</v>
      </c>
      <c r="D122" s="8" t="s">
        <v>109</v>
      </c>
      <c r="E122" s="7" t="str">
        <f t="shared" si="7"/>
        <v>10</v>
      </c>
    </row>
    <row r="123" spans="1:5" x14ac:dyDescent="0.25">
      <c r="A123" s="9" t="str">
        <f t="shared" si="5"/>
        <v>84 REQUEST MORE TEXT FIELDS - SEND DISC INFO</v>
      </c>
      <c r="B123" t="s">
        <v>127</v>
      </c>
      <c r="C123" s="7" t="str">
        <f t="shared" si="6"/>
        <v>10</v>
      </c>
      <c r="D123" s="8" t="s">
        <v>109</v>
      </c>
      <c r="E123" s="7" t="str">
        <f t="shared" si="7"/>
        <v>31</v>
      </c>
    </row>
    <row r="124" spans="1:5" x14ac:dyDescent="0.25">
      <c r="A124" s="9" t="str">
        <f t="shared" si="5"/>
        <v>01 MASTER REQUEST - SLAVE POLL</v>
      </c>
      <c r="B124" t="s">
        <v>122</v>
      </c>
      <c r="C124" s="7" t="str">
        <f t="shared" si="6"/>
        <v>10</v>
      </c>
      <c r="D124" s="8" t="s">
        <v>109</v>
      </c>
      <c r="E124" s="7" t="str">
        <f t="shared" si="7"/>
        <v>31</v>
      </c>
    </row>
    <row r="125" spans="1:5" x14ac:dyDescent="0.25">
      <c r="A125" s="9" t="str">
        <f t="shared" si="5"/>
        <v>95 MAGAZINE INFO - CD1 YES, CD2 YES, CD3 NO, CD4 NO, CD5 NO, CD6 NO</v>
      </c>
      <c r="B125" t="s">
        <v>128</v>
      </c>
      <c r="C125" s="7" t="str">
        <f t="shared" si="6"/>
        <v>31</v>
      </c>
      <c r="D125" s="8" t="s">
        <v>109</v>
      </c>
      <c r="E125" s="7" t="str">
        <f t="shared" si="7"/>
        <v>10</v>
      </c>
    </row>
    <row r="126" spans="1:5" x14ac:dyDescent="0.25">
      <c r="A126" s="9" t="str">
        <f t="shared" si="5"/>
        <v>01 MASTER REQUEST - SLAVE POLL</v>
      </c>
      <c r="B126" t="s">
        <v>122</v>
      </c>
      <c r="C126" s="7" t="str">
        <f t="shared" si="6"/>
        <v>10</v>
      </c>
      <c r="D126" s="8" t="s">
        <v>109</v>
      </c>
      <c r="E126" s="7" t="str">
        <f t="shared" si="7"/>
        <v>31</v>
      </c>
    </row>
    <row r="127" spans="1:5" x14ac:dyDescent="0.25">
      <c r="A127" s="9" t="str">
        <f t="shared" si="5"/>
        <v>97 DISC INFO - TRACKS: 20, MINS: 79, SECS: 46, DISC: 1</v>
      </c>
      <c r="B127" t="s">
        <v>140</v>
      </c>
      <c r="C127" s="7" t="str">
        <f t="shared" si="6"/>
        <v>31</v>
      </c>
      <c r="D127" s="8" t="s">
        <v>109</v>
      </c>
      <c r="E127" s="7" t="str">
        <f t="shared" si="7"/>
        <v>10</v>
      </c>
    </row>
    <row r="128" spans="1:5" x14ac:dyDescent="0.25">
      <c r="A128" s="9" t="str">
        <f t="shared" si="5"/>
        <v>01 MASTER REQUEST - SLAVE POLL</v>
      </c>
      <c r="B128" t="s">
        <v>122</v>
      </c>
      <c r="C128" s="7" t="str">
        <f t="shared" si="6"/>
        <v>10</v>
      </c>
      <c r="D128" s="8" t="s">
        <v>109</v>
      </c>
      <c r="E128" s="7" t="str">
        <f t="shared" si="7"/>
        <v>31</v>
      </c>
    </row>
    <row r="129" spans="1:5" x14ac:dyDescent="0.25">
      <c r="A129" s="9" t="str">
        <f t="shared" si="5"/>
        <v>90 TIME- TRACK: 02, 03:27, DISC: 1</v>
      </c>
      <c r="B129" t="s">
        <v>147</v>
      </c>
      <c r="C129" s="7" t="str">
        <f t="shared" si="6"/>
        <v>31</v>
      </c>
      <c r="D129" s="8" t="s">
        <v>109</v>
      </c>
      <c r="E129" s="7" t="str">
        <f t="shared" si="7"/>
        <v>70</v>
      </c>
    </row>
    <row r="130" spans="1:5" x14ac:dyDescent="0.25">
      <c r="A130" s="9" t="str">
        <f t="shared" si="5"/>
        <v>01 MASTER REQUEST - SLAVE POLL</v>
      </c>
      <c r="B130" t="s">
        <v>122</v>
      </c>
      <c r="C130" s="7" t="str">
        <f t="shared" si="6"/>
        <v>10</v>
      </c>
      <c r="D130" s="8" t="s">
        <v>109</v>
      </c>
      <c r="E130" s="7" t="str">
        <f t="shared" si="7"/>
        <v>31</v>
      </c>
    </row>
    <row r="131" spans="1:5" x14ac:dyDescent="0.25">
      <c r="A131" s="9" t="str">
        <f t="shared" ref="A131:A132" si="8">ParseUnilink(B131)</f>
        <v>00 STATUS - PLAYING</v>
      </c>
      <c r="B131" t="s">
        <v>141</v>
      </c>
      <c r="C131" s="7" t="str">
        <f t="shared" ref="C131:C132" si="9">MID(B131,4,2)</f>
        <v>31</v>
      </c>
      <c r="D131" s="8" t="s">
        <v>109</v>
      </c>
      <c r="E131" s="7" t="str">
        <f t="shared" ref="E131:E132" si="10">MID(B131,1,2)</f>
        <v>10</v>
      </c>
    </row>
    <row r="132" spans="1:5" x14ac:dyDescent="0.25">
      <c r="A132" s="9" t="str">
        <f t="shared" si="8"/>
        <v>84 REQUEST MORE TEXT FIELDS - SEND MAGAZINE INFO</v>
      </c>
      <c r="B132" t="s">
        <v>125</v>
      </c>
      <c r="C132" s="7" t="str">
        <f t="shared" si="9"/>
        <v>10</v>
      </c>
      <c r="D132" s="8" t="s">
        <v>109</v>
      </c>
      <c r="E132" s="7" t="str">
        <f t="shared" si="10"/>
        <v>31</v>
      </c>
    </row>
  </sheetData>
  <conditionalFormatting sqref="A2:A132">
    <cfRule type="expression" dxfId="117" priority="8">
      <formula>AND(EXACT($A$1,"01"),EXACT(MID(B2,7,5),"01 02"))</formula>
    </cfRule>
    <cfRule type="expression" dxfId="116" priority="9">
      <formula>AND(EXACT($A$1,"01"),EXACT(MID(B2,7,5),"01 00"))</formula>
    </cfRule>
    <cfRule type="expression" dxfId="109" priority="10">
      <formula>EXACT(UPPER($A$1),UPPER(MID(B2,7,2)))</formula>
    </cfRule>
  </conditionalFormatting>
  <conditionalFormatting sqref="B2:B132">
    <cfRule type="expression" dxfId="115" priority="11">
      <formula>EXACT(MID(B2,4,2),"31")</formula>
    </cfRule>
    <cfRule type="expression" dxfId="114" priority="12">
      <formula>EXACT(MID(B2,4,2),"30")</formula>
    </cfRule>
    <cfRule type="expression" dxfId="113" priority="13">
      <formula>EXACT(MID(B2,4,2),"10")</formula>
    </cfRule>
    <cfRule type="expression" dxfId="112" priority="14">
      <formula>EXACT(MID(B2,4,2),"11")</formula>
    </cfRule>
  </conditionalFormatting>
  <conditionalFormatting sqref="C2:C132 E2:E132">
    <cfRule type="expression" dxfId="111" priority="2">
      <formula>GESTEP(HEX2DEC($E2),70)</formula>
    </cfRule>
  </conditionalFormatting>
  <conditionalFormatting sqref="D2:D132">
    <cfRule type="expression" dxfId="110" priority="1">
      <formula>GESTEP(HEX2DEC($E2),70)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Refresh_button_Click">
                <anchor mov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752475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A1:L137"/>
  <sheetViews>
    <sheetView workbookViewId="0"/>
  </sheetViews>
  <sheetFormatPr baseColWidth="10" defaultRowHeight="15" x14ac:dyDescent="0.25"/>
  <cols>
    <col min="1" max="1" width="80.7109375" customWidth="1"/>
    <col min="2" max="2" width="38.7109375" customWidth="1"/>
    <col min="3" max="5" width="3.7109375" customWidth="1"/>
    <col min="7" max="7" width="20.7109375" customWidth="1"/>
    <col min="8" max="8" width="6.7109375" customWidth="1"/>
  </cols>
  <sheetData>
    <row r="1" spans="1:12" x14ac:dyDescent="0.25">
      <c r="A1" s="11" t="s">
        <v>188</v>
      </c>
      <c r="B1" s="10" t="s">
        <v>184</v>
      </c>
      <c r="C1" t="s">
        <v>185</v>
      </c>
      <c r="E1" t="s">
        <v>186</v>
      </c>
      <c r="G1" s="19" t="s">
        <v>315</v>
      </c>
      <c r="H1" s="19"/>
      <c r="I1" s="19"/>
      <c r="J1" s="18"/>
      <c r="K1" s="18"/>
      <c r="L1" s="18"/>
    </row>
    <row r="2" spans="1:12" x14ac:dyDescent="0.25">
      <c r="A2" s="9" t="str">
        <f>ParseUnilink(B2)</f>
        <v>84 REQUEST MORE TEXT FIELDS - SEND MAGAZINE INFO</v>
      </c>
      <c r="B2" t="s">
        <v>125</v>
      </c>
      <c r="C2" s="7" t="str">
        <f t="shared" ref="C2" si="0">MID(B2,4,2)</f>
        <v>10</v>
      </c>
      <c r="D2" s="8" t="s">
        <v>109</v>
      </c>
      <c r="E2" s="7" t="str">
        <f t="shared" ref="E2" si="1">MID(B2,1,2)</f>
        <v>31</v>
      </c>
      <c r="G2" s="19" t="s">
        <v>108</v>
      </c>
      <c r="H2" s="18"/>
      <c r="I2" s="18"/>
      <c r="J2" s="18"/>
      <c r="K2" s="18"/>
      <c r="L2" s="18"/>
    </row>
    <row r="3" spans="1:12" x14ac:dyDescent="0.25">
      <c r="A3" s="9" t="str">
        <f>ParseUnilink(B3)</f>
        <v>01 MASTER REQUEST - TIME POLL</v>
      </c>
      <c r="B3" t="s">
        <v>126</v>
      </c>
      <c r="C3" s="7" t="str">
        <f t="shared" ref="C3:C66" si="2">MID(B3,4,2)</f>
        <v>10</v>
      </c>
      <c r="D3" s="8" t="s">
        <v>109</v>
      </c>
      <c r="E3" s="7" t="str">
        <f t="shared" ref="E3:E66" si="3">MID(B3,1,2)</f>
        <v>31</v>
      </c>
    </row>
    <row r="4" spans="1:12" ht="15.75" thickBot="1" x14ac:dyDescent="0.3">
      <c r="A4" s="9" t="str">
        <f t="shared" ref="A3:A66" si="4">ParseUnilink(B4)</f>
        <v>00 STATUS - PLAYING</v>
      </c>
      <c r="B4" t="s">
        <v>141</v>
      </c>
      <c r="C4" s="7" t="str">
        <f t="shared" si="2"/>
        <v>31</v>
      </c>
      <c r="D4" s="8" t="s">
        <v>109</v>
      </c>
      <c r="E4" s="7" t="str">
        <f t="shared" si="3"/>
        <v>10</v>
      </c>
    </row>
    <row r="5" spans="1:12" ht="15.75" thickBot="1" x14ac:dyDescent="0.3">
      <c r="A5" s="9" t="str">
        <f t="shared" si="4"/>
        <v>84 REQUEST MORE TEXT FIELDS - SEND DISC INFO</v>
      </c>
      <c r="B5" t="s">
        <v>127</v>
      </c>
      <c r="C5" s="7" t="str">
        <f t="shared" si="2"/>
        <v>10</v>
      </c>
      <c r="D5" s="8" t="s">
        <v>109</v>
      </c>
      <c r="E5" s="7" t="str">
        <f t="shared" si="3"/>
        <v>31</v>
      </c>
      <c r="G5" s="12" t="s">
        <v>314</v>
      </c>
      <c r="H5" s="13" t="s">
        <v>313</v>
      </c>
    </row>
    <row r="6" spans="1:12" x14ac:dyDescent="0.25">
      <c r="A6" s="9" t="str">
        <f t="shared" si="4"/>
        <v>01 MASTER REQUEST - SLAVE POLL</v>
      </c>
      <c r="B6" t="s">
        <v>122</v>
      </c>
      <c r="C6" s="7" t="str">
        <f t="shared" si="2"/>
        <v>10</v>
      </c>
      <c r="D6" s="8" t="s">
        <v>109</v>
      </c>
      <c r="E6" s="7" t="str">
        <f t="shared" si="3"/>
        <v>31</v>
      </c>
      <c r="G6" s="16" t="s">
        <v>243</v>
      </c>
      <c r="H6" s="14" t="s">
        <v>148</v>
      </c>
    </row>
    <row r="7" spans="1:12" x14ac:dyDescent="0.25">
      <c r="A7" s="9" t="str">
        <f t="shared" si="4"/>
        <v>95 MAGAZINE INFO - CD1 YES, CD2 YES, CD3 NO, CD4 NO, CD5 NO, CD6 NO</v>
      </c>
      <c r="B7" t="s">
        <v>128</v>
      </c>
      <c r="C7" s="7" t="str">
        <f t="shared" si="2"/>
        <v>31</v>
      </c>
      <c r="D7" s="8" t="s">
        <v>109</v>
      </c>
      <c r="E7" s="7" t="str">
        <f t="shared" si="3"/>
        <v>10</v>
      </c>
      <c r="G7" s="16" t="s">
        <v>244</v>
      </c>
      <c r="H7" s="14" t="s">
        <v>148</v>
      </c>
    </row>
    <row r="8" spans="1:12" x14ac:dyDescent="0.25">
      <c r="A8" s="9" t="str">
        <f t="shared" si="4"/>
        <v>01 MASTER REQUEST - SLAVE POLL</v>
      </c>
      <c r="B8" t="s">
        <v>122</v>
      </c>
      <c r="C8" s="7" t="str">
        <f t="shared" si="2"/>
        <v>10</v>
      </c>
      <c r="D8" s="8" t="s">
        <v>109</v>
      </c>
      <c r="E8" s="7" t="str">
        <f t="shared" si="3"/>
        <v>31</v>
      </c>
      <c r="G8" s="16" t="s">
        <v>245</v>
      </c>
      <c r="H8" s="14" t="s">
        <v>148</v>
      </c>
    </row>
    <row r="9" spans="1:12" x14ac:dyDescent="0.25">
      <c r="A9" s="9" t="str">
        <f t="shared" si="4"/>
        <v>97 DISC INFO - TRACKS: 20, MINS: 79, SECS: 46, DISC: 1</v>
      </c>
      <c r="B9" t="s">
        <v>140</v>
      </c>
      <c r="C9" s="7" t="str">
        <f t="shared" si="2"/>
        <v>31</v>
      </c>
      <c r="D9" s="8" t="s">
        <v>109</v>
      </c>
      <c r="E9" s="7" t="str">
        <f t="shared" si="3"/>
        <v>10</v>
      </c>
      <c r="G9" s="16" t="s">
        <v>246</v>
      </c>
      <c r="H9" s="14" t="s">
        <v>242</v>
      </c>
    </row>
    <row r="10" spans="1:12" x14ac:dyDescent="0.25">
      <c r="A10" s="9" t="str">
        <f t="shared" si="4"/>
        <v>B0 CHANGE TO DISC 2, TRACK 00</v>
      </c>
      <c r="B10" t="s">
        <v>149</v>
      </c>
      <c r="C10" s="7" t="str">
        <f t="shared" si="2"/>
        <v>11</v>
      </c>
      <c r="D10" s="8" t="s">
        <v>109</v>
      </c>
      <c r="E10" s="7" t="str">
        <f t="shared" si="3"/>
        <v>31</v>
      </c>
      <c r="G10" s="16" t="s">
        <v>247</v>
      </c>
      <c r="H10" s="14" t="s">
        <v>287</v>
      </c>
    </row>
    <row r="11" spans="1:12" x14ac:dyDescent="0.25">
      <c r="A11" s="9" t="str">
        <f t="shared" si="4"/>
        <v>01 MASTER REQUEST - SLAVE POLL</v>
      </c>
      <c r="B11" t="s">
        <v>122</v>
      </c>
      <c r="C11" s="7" t="str">
        <f t="shared" si="2"/>
        <v>10</v>
      </c>
      <c r="D11" s="8" t="s">
        <v>109</v>
      </c>
      <c r="E11" s="7" t="str">
        <f t="shared" si="3"/>
        <v>31</v>
      </c>
      <c r="G11" s="16" t="s">
        <v>248</v>
      </c>
      <c r="H11" s="14" t="s">
        <v>287</v>
      </c>
    </row>
    <row r="12" spans="1:12" x14ac:dyDescent="0.25">
      <c r="A12" s="9" t="str">
        <f t="shared" si="4"/>
        <v>01 MASTER REQUEST - SLAVE POLL</v>
      </c>
      <c r="B12" t="s">
        <v>122</v>
      </c>
      <c r="C12" s="7" t="str">
        <f t="shared" si="2"/>
        <v>10</v>
      </c>
      <c r="D12" s="8" t="s">
        <v>109</v>
      </c>
      <c r="E12" s="7" t="str">
        <f t="shared" si="3"/>
        <v>31</v>
      </c>
      <c r="G12" s="16" t="s">
        <v>249</v>
      </c>
      <c r="H12" s="14" t="s">
        <v>288</v>
      </c>
    </row>
    <row r="13" spans="1:12" x14ac:dyDescent="0.25">
      <c r="A13" s="9" t="str">
        <f t="shared" si="4"/>
        <v>9C AFTER DISC CHANGE TO MASTER - Disc number: 2</v>
      </c>
      <c r="B13" t="s">
        <v>150</v>
      </c>
      <c r="C13" s="7" t="str">
        <f t="shared" si="2"/>
        <v>31</v>
      </c>
      <c r="D13" s="8" t="s">
        <v>109</v>
      </c>
      <c r="E13" s="7" t="str">
        <f t="shared" si="3"/>
        <v>90</v>
      </c>
      <c r="G13" s="16" t="s">
        <v>250</v>
      </c>
      <c r="H13" s="14" t="s">
        <v>289</v>
      </c>
    </row>
    <row r="14" spans="1:12" x14ac:dyDescent="0.25">
      <c r="A14" s="9" t="str">
        <f t="shared" si="4"/>
        <v>01 MASTER REQUEST - SLAVE POLL</v>
      </c>
      <c r="B14" t="s">
        <v>122</v>
      </c>
      <c r="C14" s="7" t="str">
        <f t="shared" si="2"/>
        <v>10</v>
      </c>
      <c r="D14" s="8" t="s">
        <v>109</v>
      </c>
      <c r="E14" s="7" t="str">
        <f t="shared" si="3"/>
        <v>31</v>
      </c>
      <c r="G14" s="16" t="s">
        <v>251</v>
      </c>
      <c r="H14" s="14" t="s">
        <v>290</v>
      </c>
    </row>
    <row r="15" spans="1:12" x14ac:dyDescent="0.25">
      <c r="A15" s="9" t="str">
        <f t="shared" si="4"/>
        <v>01 MASTER REQUEST - SLAVE POLL</v>
      </c>
      <c r="B15" t="s">
        <v>122</v>
      </c>
      <c r="C15" s="7" t="str">
        <f t="shared" si="2"/>
        <v>10</v>
      </c>
      <c r="D15" s="8" t="s">
        <v>109</v>
      </c>
      <c r="E15" s="7" t="str">
        <f t="shared" si="3"/>
        <v>31</v>
      </c>
      <c r="G15" s="16" t="s">
        <v>252</v>
      </c>
      <c r="H15" s="14" t="s">
        <v>291</v>
      </c>
    </row>
    <row r="16" spans="1:12" x14ac:dyDescent="0.25">
      <c r="A16" s="9" t="str">
        <f t="shared" si="4"/>
        <v>00 STATUS - CHANGING CD</v>
      </c>
      <c r="B16" t="s">
        <v>151</v>
      </c>
      <c r="C16" s="7" t="str">
        <f t="shared" si="2"/>
        <v>31</v>
      </c>
      <c r="D16" s="8" t="s">
        <v>109</v>
      </c>
      <c r="E16" s="7" t="str">
        <f t="shared" si="3"/>
        <v>10</v>
      </c>
      <c r="G16" s="16" t="s">
        <v>253</v>
      </c>
      <c r="H16" s="14" t="s">
        <v>292</v>
      </c>
    </row>
    <row r="17" spans="1:8" x14ac:dyDescent="0.25">
      <c r="A17" s="9" t="str">
        <f t="shared" si="4"/>
        <v>84 REQUEST MORE TEXT FIELDS - SEND MAGAZINE INFO</v>
      </c>
      <c r="B17" t="s">
        <v>125</v>
      </c>
      <c r="C17" s="7" t="str">
        <f t="shared" si="2"/>
        <v>10</v>
      </c>
      <c r="D17" s="8" t="s">
        <v>109</v>
      </c>
      <c r="E17" s="7" t="str">
        <f t="shared" si="3"/>
        <v>31</v>
      </c>
      <c r="G17" s="16" t="s">
        <v>254</v>
      </c>
      <c r="H17" s="14" t="s">
        <v>293</v>
      </c>
    </row>
    <row r="18" spans="1:8" x14ac:dyDescent="0.25">
      <c r="A18" s="9" t="str">
        <f t="shared" si="4"/>
        <v>01 MASTER REQUEST - TIME POLL</v>
      </c>
      <c r="B18" t="s">
        <v>126</v>
      </c>
      <c r="C18" s="7" t="str">
        <f t="shared" si="2"/>
        <v>10</v>
      </c>
      <c r="D18" s="8" t="s">
        <v>109</v>
      </c>
      <c r="E18" s="7" t="str">
        <f t="shared" si="3"/>
        <v>31</v>
      </c>
      <c r="G18" s="16" t="s">
        <v>255</v>
      </c>
      <c r="H18" s="14" t="s">
        <v>294</v>
      </c>
    </row>
    <row r="19" spans="1:8" x14ac:dyDescent="0.25">
      <c r="A19" s="9" t="str">
        <f t="shared" si="4"/>
        <v>00 STATUS - CHANGING CD</v>
      </c>
      <c r="B19" t="s">
        <v>151</v>
      </c>
      <c r="C19" s="7" t="str">
        <f t="shared" si="2"/>
        <v>31</v>
      </c>
      <c r="D19" s="8" t="s">
        <v>109</v>
      </c>
      <c r="E19" s="7" t="str">
        <f t="shared" si="3"/>
        <v>10</v>
      </c>
      <c r="G19" s="16" t="s">
        <v>256</v>
      </c>
      <c r="H19" s="14" t="s">
        <v>295</v>
      </c>
    </row>
    <row r="20" spans="1:8" x14ac:dyDescent="0.25">
      <c r="A20" s="9" t="str">
        <f t="shared" si="4"/>
        <v>84 REQUEST MORE TEXT FIELDS - SEND DISC INFO</v>
      </c>
      <c r="B20" t="s">
        <v>127</v>
      </c>
      <c r="C20" s="7" t="str">
        <f t="shared" si="2"/>
        <v>10</v>
      </c>
      <c r="D20" s="8" t="s">
        <v>109</v>
      </c>
      <c r="E20" s="7" t="str">
        <f t="shared" si="3"/>
        <v>31</v>
      </c>
      <c r="G20" s="16" t="s">
        <v>257</v>
      </c>
      <c r="H20" s="14" t="s">
        <v>296</v>
      </c>
    </row>
    <row r="21" spans="1:8" x14ac:dyDescent="0.25">
      <c r="A21" s="9" t="str">
        <f t="shared" si="4"/>
        <v>01 MASTER REQUEST - SLAVE POLL</v>
      </c>
      <c r="B21" t="s">
        <v>122</v>
      </c>
      <c r="C21" s="7" t="str">
        <f t="shared" si="2"/>
        <v>10</v>
      </c>
      <c r="D21" s="8" t="s">
        <v>109</v>
      </c>
      <c r="E21" s="7" t="str">
        <f t="shared" si="3"/>
        <v>31</v>
      </c>
      <c r="G21" s="16" t="s">
        <v>258</v>
      </c>
      <c r="H21" s="14" t="s">
        <v>297</v>
      </c>
    </row>
    <row r="22" spans="1:8" x14ac:dyDescent="0.25">
      <c r="A22" s="9" t="str">
        <f t="shared" si="4"/>
        <v>95 MAGAZINE INFO - CD1 YES, CD2 YES, CD3 NO, CD4 NO, CD5 NO, CD6 NO</v>
      </c>
      <c r="B22" t="s">
        <v>128</v>
      </c>
      <c r="C22" s="7" t="str">
        <f t="shared" si="2"/>
        <v>31</v>
      </c>
      <c r="D22" s="8" t="s">
        <v>109</v>
      </c>
      <c r="E22" s="7" t="str">
        <f t="shared" si="3"/>
        <v>10</v>
      </c>
      <c r="G22" s="16" t="s">
        <v>259</v>
      </c>
      <c r="H22" s="14" t="s">
        <v>298</v>
      </c>
    </row>
    <row r="23" spans="1:8" x14ac:dyDescent="0.25">
      <c r="A23" s="9" t="str">
        <f t="shared" si="4"/>
        <v>01 MASTER REQUEST - SLAVE POLL</v>
      </c>
      <c r="B23" t="s">
        <v>122</v>
      </c>
      <c r="C23" s="7" t="str">
        <f t="shared" si="2"/>
        <v>10</v>
      </c>
      <c r="D23" s="8" t="s">
        <v>109</v>
      </c>
      <c r="E23" s="7" t="str">
        <f t="shared" si="3"/>
        <v>31</v>
      </c>
      <c r="G23" s="16" t="s">
        <v>260</v>
      </c>
      <c r="H23" s="14" t="s">
        <v>299</v>
      </c>
    </row>
    <row r="24" spans="1:8" x14ac:dyDescent="0.25">
      <c r="A24" s="9" t="str">
        <f t="shared" si="4"/>
        <v>97 DISC INFO - TRACKS: 10, MINS: 13, SECS: 46, DISC: 2</v>
      </c>
      <c r="B24" t="s">
        <v>152</v>
      </c>
      <c r="C24" s="7" t="str">
        <f t="shared" si="2"/>
        <v>31</v>
      </c>
      <c r="D24" s="8" t="s">
        <v>109</v>
      </c>
      <c r="E24" s="7" t="str">
        <f t="shared" si="3"/>
        <v>10</v>
      </c>
      <c r="G24" s="16" t="s">
        <v>261</v>
      </c>
      <c r="H24" s="14" t="s">
        <v>300</v>
      </c>
    </row>
    <row r="25" spans="1:8" x14ac:dyDescent="0.25">
      <c r="A25" s="9" t="str">
        <f t="shared" si="4"/>
        <v>84 REQUEST MORE TEXT FIELDS - SEND MAGAZINE INFO</v>
      </c>
      <c r="B25" t="s">
        <v>125</v>
      </c>
      <c r="C25" s="7" t="str">
        <f t="shared" si="2"/>
        <v>10</v>
      </c>
      <c r="D25" s="8" t="s">
        <v>109</v>
      </c>
      <c r="E25" s="7" t="str">
        <f t="shared" si="3"/>
        <v>31</v>
      </c>
      <c r="G25" s="16" t="s">
        <v>262</v>
      </c>
      <c r="H25" s="14" t="s">
        <v>301</v>
      </c>
    </row>
    <row r="26" spans="1:8" x14ac:dyDescent="0.25">
      <c r="A26" s="9" t="str">
        <f t="shared" si="4"/>
        <v>01 MASTER REQUEST - TIME POLL</v>
      </c>
      <c r="B26" t="s">
        <v>126</v>
      </c>
      <c r="C26" s="7" t="str">
        <f t="shared" si="2"/>
        <v>10</v>
      </c>
      <c r="D26" s="8" t="s">
        <v>109</v>
      </c>
      <c r="E26" s="7" t="str">
        <f t="shared" si="3"/>
        <v>31</v>
      </c>
      <c r="G26" s="16" t="s">
        <v>263</v>
      </c>
      <c r="H26" s="14" t="s">
        <v>302</v>
      </c>
    </row>
    <row r="27" spans="1:8" x14ac:dyDescent="0.25">
      <c r="A27" s="9" t="str">
        <f t="shared" si="4"/>
        <v>00 STATUS - CHANGING CD</v>
      </c>
      <c r="B27" t="s">
        <v>151</v>
      </c>
      <c r="C27" s="7" t="str">
        <f t="shared" si="2"/>
        <v>31</v>
      </c>
      <c r="D27" s="8" t="s">
        <v>109</v>
      </c>
      <c r="E27" s="7" t="str">
        <f t="shared" si="3"/>
        <v>10</v>
      </c>
      <c r="G27" s="16" t="s">
        <v>264</v>
      </c>
      <c r="H27" s="14" t="s">
        <v>303</v>
      </c>
    </row>
    <row r="28" spans="1:8" x14ac:dyDescent="0.25">
      <c r="A28" s="9" t="str">
        <f t="shared" si="4"/>
        <v>84 REQUEST MORE TEXT FIELDS - SEND DISC INFO</v>
      </c>
      <c r="B28" t="s">
        <v>127</v>
      </c>
      <c r="C28" s="7" t="str">
        <f t="shared" si="2"/>
        <v>10</v>
      </c>
      <c r="D28" s="8" t="s">
        <v>109</v>
      </c>
      <c r="E28" s="7" t="str">
        <f t="shared" si="3"/>
        <v>31</v>
      </c>
      <c r="G28" s="16" t="s">
        <v>265</v>
      </c>
      <c r="H28" s="14" t="s">
        <v>304</v>
      </c>
    </row>
    <row r="29" spans="1:8" x14ac:dyDescent="0.25">
      <c r="A29" s="9" t="str">
        <f t="shared" si="4"/>
        <v>01 MASTER REQUEST - SLAVE POLL</v>
      </c>
      <c r="B29" t="s">
        <v>122</v>
      </c>
      <c r="C29" s="7" t="str">
        <f t="shared" si="2"/>
        <v>10</v>
      </c>
      <c r="D29" s="8" t="s">
        <v>109</v>
      </c>
      <c r="E29" s="7" t="str">
        <f t="shared" si="3"/>
        <v>31</v>
      </c>
      <c r="G29" s="16" t="s">
        <v>266</v>
      </c>
      <c r="H29" s="14" t="s">
        <v>305</v>
      </c>
    </row>
    <row r="30" spans="1:8" x14ac:dyDescent="0.25">
      <c r="A30" s="9" t="str">
        <f t="shared" si="4"/>
        <v>95 MAGAZINE INFO - CD1 YES, CD2 YES, CD3 NO, CD4 NO, CD5 NO, CD6 NO</v>
      </c>
      <c r="B30" t="s">
        <v>128</v>
      </c>
      <c r="C30" s="7" t="str">
        <f t="shared" si="2"/>
        <v>31</v>
      </c>
      <c r="D30" s="8" t="s">
        <v>109</v>
      </c>
      <c r="E30" s="7" t="str">
        <f t="shared" si="3"/>
        <v>10</v>
      </c>
      <c r="G30" s="16" t="s">
        <v>267</v>
      </c>
      <c r="H30" s="14" t="s">
        <v>306</v>
      </c>
    </row>
    <row r="31" spans="1:8" x14ac:dyDescent="0.25">
      <c r="A31" s="9" t="str">
        <f t="shared" si="4"/>
        <v>01 MASTER REQUEST - SLAVE POLL</v>
      </c>
      <c r="B31" t="s">
        <v>122</v>
      </c>
      <c r="C31" s="7" t="str">
        <f t="shared" si="2"/>
        <v>10</v>
      </c>
      <c r="D31" s="8" t="s">
        <v>109</v>
      </c>
      <c r="E31" s="7" t="str">
        <f t="shared" si="3"/>
        <v>31</v>
      </c>
      <c r="G31" s="16" t="s">
        <v>268</v>
      </c>
      <c r="H31" s="14" t="s">
        <v>307</v>
      </c>
    </row>
    <row r="32" spans="1:8" x14ac:dyDescent="0.25">
      <c r="A32" s="9" t="str">
        <f t="shared" si="4"/>
        <v>97 DISC INFO - TRACKS: 10, MINS: 13, SECS: 46, DISC: 2</v>
      </c>
      <c r="B32" t="s">
        <v>152</v>
      </c>
      <c r="C32" s="7" t="str">
        <f t="shared" si="2"/>
        <v>31</v>
      </c>
      <c r="D32" s="8" t="s">
        <v>109</v>
      </c>
      <c r="E32" s="7" t="str">
        <f t="shared" si="3"/>
        <v>10</v>
      </c>
      <c r="G32" s="16" t="s">
        <v>269</v>
      </c>
      <c r="H32" s="14" t="s">
        <v>270</v>
      </c>
    </row>
    <row r="33" spans="1:8" x14ac:dyDescent="0.25">
      <c r="A33" s="9" t="str">
        <f t="shared" si="4"/>
        <v>01 MASTER REQUEST - SLAVE POLL</v>
      </c>
      <c r="B33" t="s">
        <v>122</v>
      </c>
      <c r="C33" s="7" t="str">
        <f t="shared" si="2"/>
        <v>10</v>
      </c>
      <c r="D33" s="8" t="s">
        <v>109</v>
      </c>
      <c r="E33" s="7" t="str">
        <f t="shared" si="3"/>
        <v>31</v>
      </c>
      <c r="G33" s="16" t="s">
        <v>271</v>
      </c>
      <c r="H33" s="14" t="s">
        <v>272</v>
      </c>
    </row>
    <row r="34" spans="1:8" x14ac:dyDescent="0.25">
      <c r="A34" s="9" t="str">
        <f t="shared" si="4"/>
        <v>01 MASTER REQUEST - SLAVE POLL</v>
      </c>
      <c r="B34" t="s">
        <v>122</v>
      </c>
      <c r="C34" s="7" t="str">
        <f t="shared" si="2"/>
        <v>10</v>
      </c>
      <c r="D34" s="8" t="s">
        <v>109</v>
      </c>
      <c r="E34" s="7" t="str">
        <f t="shared" si="3"/>
        <v>31</v>
      </c>
      <c r="G34" s="16" t="s">
        <v>273</v>
      </c>
      <c r="H34" s="14" t="s">
        <v>308</v>
      </c>
    </row>
    <row r="35" spans="1:8" x14ac:dyDescent="0.25">
      <c r="A35" s="9" t="str">
        <f t="shared" si="4"/>
        <v>00 STATUS - CHANGING CD</v>
      </c>
      <c r="B35" t="s">
        <v>151</v>
      </c>
      <c r="C35" s="7" t="str">
        <f t="shared" si="2"/>
        <v>31</v>
      </c>
      <c r="D35" s="8" t="s">
        <v>109</v>
      </c>
      <c r="E35" s="7" t="str">
        <f t="shared" si="3"/>
        <v>10</v>
      </c>
      <c r="G35" s="16" t="s">
        <v>274</v>
      </c>
      <c r="H35" s="14" t="s">
        <v>309</v>
      </c>
    </row>
    <row r="36" spans="1:8" x14ac:dyDescent="0.25">
      <c r="A36" s="9" t="str">
        <f t="shared" si="4"/>
        <v>B0 CHANGE TO DISC 2, TRACK 00</v>
      </c>
      <c r="B36" t="s">
        <v>149</v>
      </c>
      <c r="C36" s="7" t="str">
        <f t="shared" si="2"/>
        <v>11</v>
      </c>
      <c r="D36" s="8" t="s">
        <v>109</v>
      </c>
      <c r="E36" s="7" t="str">
        <f t="shared" si="3"/>
        <v>31</v>
      </c>
      <c r="G36" s="16" t="s">
        <v>275</v>
      </c>
      <c r="H36" s="14" t="s">
        <v>310</v>
      </c>
    </row>
    <row r="37" spans="1:8" x14ac:dyDescent="0.25">
      <c r="A37" s="9" t="str">
        <f t="shared" si="4"/>
        <v>01 MASTER REQUEST - SLAVE POLL</v>
      </c>
      <c r="B37" t="s">
        <v>122</v>
      </c>
      <c r="C37" s="7" t="str">
        <f t="shared" si="2"/>
        <v>10</v>
      </c>
      <c r="D37" s="8" t="s">
        <v>109</v>
      </c>
      <c r="E37" s="7" t="str">
        <f t="shared" si="3"/>
        <v>31</v>
      </c>
      <c r="G37" s="16" t="s">
        <v>276</v>
      </c>
      <c r="H37" s="14" t="s">
        <v>311</v>
      </c>
    </row>
    <row r="38" spans="1:8" x14ac:dyDescent="0.25">
      <c r="A38" s="9" t="str">
        <f t="shared" si="4"/>
        <v>9C AFTER DISC CHANGE TO MASTER - Disc number: 2</v>
      </c>
      <c r="B38" t="s">
        <v>150</v>
      </c>
      <c r="C38" s="7" t="str">
        <f t="shared" si="2"/>
        <v>31</v>
      </c>
      <c r="D38" s="8" t="s">
        <v>109</v>
      </c>
      <c r="E38" s="7" t="str">
        <f t="shared" si="3"/>
        <v>90</v>
      </c>
      <c r="G38" s="16" t="s">
        <v>277</v>
      </c>
      <c r="H38" s="14" t="s">
        <v>278</v>
      </c>
    </row>
    <row r="39" spans="1:8" x14ac:dyDescent="0.25">
      <c r="A39" s="9" t="str">
        <f t="shared" si="4"/>
        <v>01 MASTER REQUEST - SLAVE POLL</v>
      </c>
      <c r="B39" t="s">
        <v>153</v>
      </c>
      <c r="C39" s="7" t="str">
        <f t="shared" si="2"/>
        <v>10</v>
      </c>
      <c r="D39" s="8" t="s">
        <v>109</v>
      </c>
      <c r="E39" s="7" t="str">
        <f t="shared" si="3"/>
        <v>31</v>
      </c>
      <c r="G39" s="16" t="s">
        <v>279</v>
      </c>
      <c r="H39" s="14" t="s">
        <v>312</v>
      </c>
    </row>
    <row r="40" spans="1:8" x14ac:dyDescent="0.25">
      <c r="A40" s="9" t="str">
        <f t="shared" si="4"/>
        <v>01 MASTER REQUEST - SLAVE POLL</v>
      </c>
      <c r="B40" t="s">
        <v>122</v>
      </c>
      <c r="C40" s="7" t="str">
        <f t="shared" si="2"/>
        <v>10</v>
      </c>
      <c r="D40" s="8" t="s">
        <v>109</v>
      </c>
      <c r="E40" s="7" t="str">
        <f t="shared" si="3"/>
        <v>31</v>
      </c>
      <c r="G40" s="16" t="s">
        <v>280</v>
      </c>
      <c r="H40" s="14" t="s">
        <v>188</v>
      </c>
    </row>
    <row r="41" spans="1:8" x14ac:dyDescent="0.25">
      <c r="A41" s="9" t="str">
        <f t="shared" si="4"/>
        <v>84 REQUEST MORE TEXT FIELDS - SEND MAGAZINE INFO</v>
      </c>
      <c r="B41" t="s">
        <v>125</v>
      </c>
      <c r="C41" s="7" t="str">
        <f t="shared" si="2"/>
        <v>10</v>
      </c>
      <c r="D41" s="8" t="s">
        <v>109</v>
      </c>
      <c r="E41" s="7" t="str">
        <f t="shared" si="3"/>
        <v>31</v>
      </c>
      <c r="G41" s="16" t="s">
        <v>281</v>
      </c>
      <c r="H41" s="14" t="s">
        <v>282</v>
      </c>
    </row>
    <row r="42" spans="1:8" x14ac:dyDescent="0.25">
      <c r="A42" s="9" t="str">
        <f t="shared" si="4"/>
        <v>01 MASTER REQUEST - TIME POLL</v>
      </c>
      <c r="B42" t="s">
        <v>126</v>
      </c>
      <c r="C42" s="7" t="str">
        <f t="shared" si="2"/>
        <v>10</v>
      </c>
      <c r="D42" s="8" t="s">
        <v>109</v>
      </c>
      <c r="E42" s="7" t="str">
        <f t="shared" si="3"/>
        <v>31</v>
      </c>
      <c r="G42" s="16" t="s">
        <v>283</v>
      </c>
      <c r="H42" s="14" t="s">
        <v>284</v>
      </c>
    </row>
    <row r="43" spans="1:8" ht="15.75" thickBot="1" x14ac:dyDescent="0.3">
      <c r="A43" s="9" t="str">
        <f t="shared" si="4"/>
        <v>00 STATUS - CHANGING CD</v>
      </c>
      <c r="B43" t="s">
        <v>151</v>
      </c>
      <c r="C43" s="7" t="str">
        <f t="shared" si="2"/>
        <v>31</v>
      </c>
      <c r="D43" s="8" t="s">
        <v>109</v>
      </c>
      <c r="E43" s="7" t="str">
        <f t="shared" si="3"/>
        <v>10</v>
      </c>
      <c r="G43" s="17" t="s">
        <v>285</v>
      </c>
      <c r="H43" s="15" t="s">
        <v>286</v>
      </c>
    </row>
    <row r="44" spans="1:8" x14ac:dyDescent="0.25">
      <c r="A44" s="9" t="str">
        <f t="shared" si="4"/>
        <v>84 REQUEST MORE TEXT FIELDS - SEND DISC INFO</v>
      </c>
      <c r="B44" t="s">
        <v>127</v>
      </c>
      <c r="C44" s="7" t="str">
        <f t="shared" si="2"/>
        <v>10</v>
      </c>
      <c r="D44" s="8" t="s">
        <v>109</v>
      </c>
      <c r="E44" s="7" t="str">
        <f t="shared" si="3"/>
        <v>31</v>
      </c>
    </row>
    <row r="45" spans="1:8" x14ac:dyDescent="0.25">
      <c r="A45" s="9" t="str">
        <f t="shared" si="4"/>
        <v>01 MASTER REQUEST - SLAVE POLL</v>
      </c>
      <c r="B45" t="s">
        <v>122</v>
      </c>
      <c r="C45" s="7" t="str">
        <f t="shared" si="2"/>
        <v>10</v>
      </c>
      <c r="D45" s="8" t="s">
        <v>109</v>
      </c>
      <c r="E45" s="7" t="str">
        <f t="shared" si="3"/>
        <v>31</v>
      </c>
    </row>
    <row r="46" spans="1:8" x14ac:dyDescent="0.25">
      <c r="A46" s="9" t="str">
        <f t="shared" si="4"/>
        <v>95 MAGAZINE INFO - CD1 YES, CD2 YES, CD3 NO, CD4 NO, CD5 NO, CD6 NO</v>
      </c>
      <c r="B46" t="s">
        <v>128</v>
      </c>
      <c r="C46" s="7" t="str">
        <f t="shared" si="2"/>
        <v>31</v>
      </c>
      <c r="D46" s="8" t="s">
        <v>109</v>
      </c>
      <c r="E46" s="7" t="str">
        <f t="shared" si="3"/>
        <v>10</v>
      </c>
    </row>
    <row r="47" spans="1:8" x14ac:dyDescent="0.25">
      <c r="A47" s="9" t="str">
        <f t="shared" si="4"/>
        <v>01 MASTER REQUEST - SLAVE POLL</v>
      </c>
      <c r="B47" t="s">
        <v>122</v>
      </c>
      <c r="C47" s="7" t="str">
        <f t="shared" si="2"/>
        <v>10</v>
      </c>
      <c r="D47" s="8" t="s">
        <v>109</v>
      </c>
      <c r="E47" s="7" t="str">
        <f t="shared" si="3"/>
        <v>31</v>
      </c>
    </row>
    <row r="48" spans="1:8" x14ac:dyDescent="0.25">
      <c r="A48" s="9" t="str">
        <f t="shared" si="4"/>
        <v>97 DISC INFO - TRACKS: 10, MINS: 13, SECS: 46, DISC: 2</v>
      </c>
      <c r="B48" t="s">
        <v>152</v>
      </c>
      <c r="C48" s="7" t="str">
        <f t="shared" si="2"/>
        <v>31</v>
      </c>
      <c r="D48" s="8" t="s">
        <v>109</v>
      </c>
      <c r="E48" s="7" t="str">
        <f t="shared" si="3"/>
        <v>10</v>
      </c>
    </row>
    <row r="49" spans="1:8" x14ac:dyDescent="0.25">
      <c r="A49" s="9" t="str">
        <f t="shared" si="4"/>
        <v>84 REQUEST MORE TEXT FIELDS - SEND MAGAZINE INFO</v>
      </c>
      <c r="B49" t="s">
        <v>125</v>
      </c>
      <c r="C49" s="7" t="str">
        <f t="shared" si="2"/>
        <v>10</v>
      </c>
      <c r="D49" s="8" t="s">
        <v>109</v>
      </c>
      <c r="E49" s="7" t="str">
        <f t="shared" si="3"/>
        <v>31</v>
      </c>
    </row>
    <row r="50" spans="1:8" x14ac:dyDescent="0.25">
      <c r="A50" s="9" t="str">
        <f t="shared" si="4"/>
        <v>01 MASTER REQUEST - TIME POLL</v>
      </c>
      <c r="B50" t="s">
        <v>126</v>
      </c>
      <c r="C50" s="7" t="str">
        <f t="shared" si="2"/>
        <v>10</v>
      </c>
      <c r="D50" s="8" t="s">
        <v>109</v>
      </c>
      <c r="E50" s="7" t="str">
        <f t="shared" si="3"/>
        <v>31</v>
      </c>
    </row>
    <row r="51" spans="1:8" x14ac:dyDescent="0.25">
      <c r="A51" s="9" t="str">
        <f t="shared" si="4"/>
        <v>00 STATUS - CHANGING CD</v>
      </c>
      <c r="B51" t="s">
        <v>151</v>
      </c>
      <c r="C51" s="7" t="str">
        <f t="shared" si="2"/>
        <v>31</v>
      </c>
      <c r="D51" s="8" t="s">
        <v>109</v>
      </c>
      <c r="E51" s="7" t="str">
        <f t="shared" si="3"/>
        <v>10</v>
      </c>
      <c r="G51" s="5"/>
      <c r="H51" s="5"/>
    </row>
    <row r="52" spans="1:8" x14ac:dyDescent="0.25">
      <c r="A52" s="9" t="str">
        <f t="shared" si="4"/>
        <v>84 REQUEST MORE TEXT FIELDS - SEND DISC INFO</v>
      </c>
      <c r="B52" t="s">
        <v>127</v>
      </c>
      <c r="C52" s="7" t="str">
        <f t="shared" si="2"/>
        <v>10</v>
      </c>
      <c r="D52" s="8" t="s">
        <v>109</v>
      </c>
      <c r="E52" s="7" t="str">
        <f t="shared" si="3"/>
        <v>31</v>
      </c>
      <c r="G52" s="5"/>
      <c r="H52" s="5"/>
    </row>
    <row r="53" spans="1:8" x14ac:dyDescent="0.25">
      <c r="A53" s="9" t="str">
        <f t="shared" si="4"/>
        <v>01 MASTER REQUEST - SLAVE POLL</v>
      </c>
      <c r="B53" t="s">
        <v>122</v>
      </c>
      <c r="C53" s="7" t="str">
        <f t="shared" si="2"/>
        <v>10</v>
      </c>
      <c r="D53" s="8" t="s">
        <v>109</v>
      </c>
      <c r="E53" s="7" t="str">
        <f t="shared" si="3"/>
        <v>31</v>
      </c>
      <c r="G53" s="5"/>
      <c r="H53" s="5"/>
    </row>
    <row r="54" spans="1:8" x14ac:dyDescent="0.25">
      <c r="A54" s="9" t="str">
        <f t="shared" si="4"/>
        <v>95 MAGAZINE INFO - CD1 YES, CD2 YES, CD3 NO, CD4 NO, CD5 NO, CD6 NO</v>
      </c>
      <c r="B54" t="s">
        <v>128</v>
      </c>
      <c r="C54" s="7" t="str">
        <f t="shared" si="2"/>
        <v>31</v>
      </c>
      <c r="D54" s="8" t="s">
        <v>109</v>
      </c>
      <c r="E54" s="7" t="str">
        <f t="shared" si="3"/>
        <v>10</v>
      </c>
      <c r="G54" s="5"/>
      <c r="H54" s="5"/>
    </row>
    <row r="55" spans="1:8" x14ac:dyDescent="0.25">
      <c r="A55" s="9" t="str">
        <f t="shared" si="4"/>
        <v>01 MASTER REQUEST - SLAVE POLL</v>
      </c>
      <c r="B55" t="s">
        <v>122</v>
      </c>
      <c r="C55" s="7" t="str">
        <f t="shared" si="2"/>
        <v>10</v>
      </c>
      <c r="D55" s="8" t="s">
        <v>109</v>
      </c>
      <c r="E55" s="7" t="str">
        <f t="shared" si="3"/>
        <v>31</v>
      </c>
      <c r="G55" s="5"/>
      <c r="H55" s="5"/>
    </row>
    <row r="56" spans="1:8" x14ac:dyDescent="0.25">
      <c r="A56" s="9" t="str">
        <f t="shared" si="4"/>
        <v>97 DISC INFO - TRACKS: 10, MINS: 13, SECS: 46, DISC: 2</v>
      </c>
      <c r="B56" t="s">
        <v>152</v>
      </c>
      <c r="C56" s="7" t="str">
        <f t="shared" si="2"/>
        <v>31</v>
      </c>
      <c r="D56" s="8" t="s">
        <v>109</v>
      </c>
      <c r="E56" s="7" t="str">
        <f t="shared" si="3"/>
        <v>10</v>
      </c>
      <c r="G56" s="5"/>
      <c r="H56" s="5"/>
    </row>
    <row r="57" spans="1:8" x14ac:dyDescent="0.25">
      <c r="A57" s="9" t="str">
        <f t="shared" si="4"/>
        <v>B0 CHANGE TO DISC 2, TRACK 00</v>
      </c>
      <c r="B57" t="s">
        <v>149</v>
      </c>
      <c r="C57" s="7" t="str">
        <f t="shared" si="2"/>
        <v>11</v>
      </c>
      <c r="D57" s="8" t="s">
        <v>109</v>
      </c>
      <c r="E57" s="7" t="str">
        <f t="shared" si="3"/>
        <v>31</v>
      </c>
      <c r="G57" s="5"/>
      <c r="H57" s="5"/>
    </row>
    <row r="58" spans="1:8" x14ac:dyDescent="0.25">
      <c r="A58" s="9" t="str">
        <f t="shared" si="4"/>
        <v>01 MASTER REQUEST - SLAVE POLL</v>
      </c>
      <c r="B58" t="s">
        <v>122</v>
      </c>
      <c r="C58" s="7" t="str">
        <f t="shared" si="2"/>
        <v>10</v>
      </c>
      <c r="D58" s="8" t="s">
        <v>109</v>
      </c>
      <c r="E58" s="7" t="str">
        <f t="shared" si="3"/>
        <v>31</v>
      </c>
      <c r="G58" s="5"/>
      <c r="H58" s="5"/>
    </row>
    <row r="59" spans="1:8" x14ac:dyDescent="0.25">
      <c r="A59" s="9" t="str">
        <f t="shared" si="4"/>
        <v>9C AFTER DISC CHANGE TO MASTER - Disc number: 2</v>
      </c>
      <c r="B59" t="s">
        <v>150</v>
      </c>
      <c r="C59" s="7" t="str">
        <f t="shared" si="2"/>
        <v>31</v>
      </c>
      <c r="D59" s="8" t="s">
        <v>109</v>
      </c>
      <c r="E59" s="7" t="str">
        <f t="shared" si="3"/>
        <v>90</v>
      </c>
      <c r="G59" s="5"/>
      <c r="H59" s="5"/>
    </row>
    <row r="60" spans="1:8" x14ac:dyDescent="0.25">
      <c r="A60" s="9" t="str">
        <f t="shared" si="4"/>
        <v>01 MASTER REQUEST - SLAVE POLL</v>
      </c>
      <c r="B60" t="s">
        <v>122</v>
      </c>
      <c r="C60" s="7" t="str">
        <f t="shared" si="2"/>
        <v>10</v>
      </c>
      <c r="D60" s="8" t="s">
        <v>109</v>
      </c>
      <c r="E60" s="7" t="str">
        <f t="shared" si="3"/>
        <v>31</v>
      </c>
      <c r="G60" s="5"/>
      <c r="H60" s="5"/>
    </row>
    <row r="61" spans="1:8" x14ac:dyDescent="0.25">
      <c r="A61" s="9" t="str">
        <f t="shared" si="4"/>
        <v>01 MASTER REQUEST - SLAVE POLL</v>
      </c>
      <c r="B61" t="s">
        <v>122</v>
      </c>
      <c r="C61" s="7" t="str">
        <f t="shared" si="2"/>
        <v>10</v>
      </c>
      <c r="D61" s="8" t="s">
        <v>109</v>
      </c>
      <c r="E61" s="7" t="str">
        <f t="shared" si="3"/>
        <v>31</v>
      </c>
      <c r="G61" s="5"/>
    </row>
    <row r="62" spans="1:8" x14ac:dyDescent="0.25">
      <c r="A62" s="9" t="str">
        <f t="shared" si="4"/>
        <v>01 MASTER REQUEST - SLAVE POLL</v>
      </c>
      <c r="B62" t="s">
        <v>122</v>
      </c>
      <c r="C62" s="7" t="str">
        <f t="shared" si="2"/>
        <v>10</v>
      </c>
      <c r="D62" s="8" t="s">
        <v>109</v>
      </c>
      <c r="E62" s="7" t="str">
        <f t="shared" si="3"/>
        <v>31</v>
      </c>
      <c r="G62" s="5"/>
    </row>
    <row r="63" spans="1:8" x14ac:dyDescent="0.25">
      <c r="A63" s="9" t="str">
        <f t="shared" si="4"/>
        <v>00 STATUS - CHANGING CD</v>
      </c>
      <c r="B63" t="s">
        <v>151</v>
      </c>
      <c r="C63" s="7" t="str">
        <f t="shared" si="2"/>
        <v>31</v>
      </c>
      <c r="D63" s="8" t="s">
        <v>109</v>
      </c>
      <c r="E63" s="7" t="str">
        <f t="shared" si="3"/>
        <v>10</v>
      </c>
      <c r="G63" s="5"/>
    </row>
    <row r="64" spans="1:8" x14ac:dyDescent="0.25">
      <c r="A64" s="9" t="str">
        <f t="shared" si="4"/>
        <v>84 REQUEST MORE TEXT FIELDS - SEND MAGAZINE INFO</v>
      </c>
      <c r="B64" t="s">
        <v>125</v>
      </c>
      <c r="C64" s="7" t="str">
        <f t="shared" si="2"/>
        <v>10</v>
      </c>
      <c r="D64" s="8" t="s">
        <v>109</v>
      </c>
      <c r="E64" s="7" t="str">
        <f t="shared" si="3"/>
        <v>31</v>
      </c>
      <c r="G64" s="5"/>
    </row>
    <row r="65" spans="1:7" x14ac:dyDescent="0.25">
      <c r="A65" s="9" t="str">
        <f t="shared" si="4"/>
        <v>01 MASTER REQUEST - TIME POLL</v>
      </c>
      <c r="B65" t="s">
        <v>126</v>
      </c>
      <c r="C65" s="7" t="str">
        <f t="shared" si="2"/>
        <v>10</v>
      </c>
      <c r="D65" s="8" t="s">
        <v>109</v>
      </c>
      <c r="E65" s="7" t="str">
        <f t="shared" si="3"/>
        <v>31</v>
      </c>
      <c r="G65" s="5"/>
    </row>
    <row r="66" spans="1:7" x14ac:dyDescent="0.25">
      <c r="A66" s="9" t="str">
        <f t="shared" si="4"/>
        <v>00 STATUS - CHANGING CD</v>
      </c>
      <c r="B66" t="s">
        <v>151</v>
      </c>
      <c r="C66" s="7" t="str">
        <f t="shared" si="2"/>
        <v>31</v>
      </c>
      <c r="D66" s="8" t="s">
        <v>109</v>
      </c>
      <c r="E66" s="7" t="str">
        <f t="shared" si="3"/>
        <v>10</v>
      </c>
      <c r="G66" s="5"/>
    </row>
    <row r="67" spans="1:7" x14ac:dyDescent="0.25">
      <c r="A67" s="9" t="str">
        <f t="shared" ref="A67:A130" si="5">ParseUnilink(B67)</f>
        <v>84 REQUEST MORE TEXT FIELDS - SEND DISC INFO</v>
      </c>
      <c r="B67" t="s">
        <v>127</v>
      </c>
      <c r="C67" s="7" t="str">
        <f t="shared" ref="C67:C130" si="6">MID(B67,4,2)</f>
        <v>10</v>
      </c>
      <c r="D67" s="8" t="s">
        <v>109</v>
      </c>
      <c r="E67" s="7" t="str">
        <f t="shared" ref="E67:E130" si="7">MID(B67,1,2)</f>
        <v>31</v>
      </c>
      <c r="G67" s="5"/>
    </row>
    <row r="68" spans="1:7" x14ac:dyDescent="0.25">
      <c r="A68" s="9" t="str">
        <f t="shared" si="5"/>
        <v>01 MASTER REQUEST - SLAVE POLL</v>
      </c>
      <c r="B68" t="s">
        <v>122</v>
      </c>
      <c r="C68" s="7" t="str">
        <f t="shared" si="6"/>
        <v>10</v>
      </c>
      <c r="D68" s="8" t="s">
        <v>109</v>
      </c>
      <c r="E68" s="7" t="str">
        <f t="shared" si="7"/>
        <v>31</v>
      </c>
      <c r="G68" s="5"/>
    </row>
    <row r="69" spans="1:7" x14ac:dyDescent="0.25">
      <c r="A69" s="9" t="str">
        <f t="shared" si="5"/>
        <v>95 MAGAZINE INFO - CD1 YES, CD2 YES, CD3 NO, CD4 NO, CD5 NO, CD6 NO</v>
      </c>
      <c r="B69" t="s">
        <v>128</v>
      </c>
      <c r="C69" s="7" t="str">
        <f t="shared" si="6"/>
        <v>31</v>
      </c>
      <c r="D69" s="8" t="s">
        <v>109</v>
      </c>
      <c r="E69" s="7" t="str">
        <f t="shared" si="7"/>
        <v>10</v>
      </c>
      <c r="G69" s="5"/>
    </row>
    <row r="70" spans="1:7" x14ac:dyDescent="0.25">
      <c r="A70" s="9" t="str">
        <f t="shared" si="5"/>
        <v>01 MASTER REQUEST - SLAVE POLL</v>
      </c>
      <c r="B70" t="s">
        <v>122</v>
      </c>
      <c r="C70" s="7" t="str">
        <f t="shared" si="6"/>
        <v>10</v>
      </c>
      <c r="D70" s="8" t="s">
        <v>109</v>
      </c>
      <c r="E70" s="7" t="str">
        <f t="shared" si="7"/>
        <v>31</v>
      </c>
      <c r="G70" s="5"/>
    </row>
    <row r="71" spans="1:7" x14ac:dyDescent="0.25">
      <c r="A71" s="9" t="str">
        <f t="shared" si="5"/>
        <v>97 DISC INFO - TRACKS: 10, MINS: 13, SECS: 46, DISC: 2</v>
      </c>
      <c r="B71" t="s">
        <v>152</v>
      </c>
      <c r="C71" s="7" t="str">
        <f t="shared" si="6"/>
        <v>31</v>
      </c>
      <c r="D71" s="8" t="s">
        <v>109</v>
      </c>
      <c r="E71" s="7" t="str">
        <f t="shared" si="7"/>
        <v>10</v>
      </c>
      <c r="G71" s="5"/>
    </row>
    <row r="72" spans="1:7" x14ac:dyDescent="0.25">
      <c r="A72" s="9" t="str">
        <f t="shared" si="5"/>
        <v>01 MASTER REQUEST - SLAVE POLL</v>
      </c>
      <c r="B72" t="s">
        <v>122</v>
      </c>
      <c r="C72" s="7" t="str">
        <f t="shared" si="6"/>
        <v>10</v>
      </c>
      <c r="D72" s="8" t="s">
        <v>109</v>
      </c>
      <c r="E72" s="7" t="str">
        <f t="shared" si="7"/>
        <v>31</v>
      </c>
      <c r="G72" s="5"/>
    </row>
    <row r="73" spans="1:7" x14ac:dyDescent="0.25">
      <c r="A73" s="9" t="str">
        <f t="shared" si="5"/>
        <v>84 REQUEST MORE TEXT FIELDS - SEND MAGAZINE INFO</v>
      </c>
      <c r="B73" t="s">
        <v>125</v>
      </c>
      <c r="C73" s="7" t="str">
        <f t="shared" si="6"/>
        <v>10</v>
      </c>
      <c r="D73" s="8" t="s">
        <v>109</v>
      </c>
      <c r="E73" s="7" t="str">
        <f t="shared" si="7"/>
        <v>31</v>
      </c>
      <c r="G73" s="5"/>
    </row>
    <row r="74" spans="1:7" x14ac:dyDescent="0.25">
      <c r="A74" s="9" t="str">
        <f t="shared" si="5"/>
        <v>01 MASTER REQUEST - TIME POLL</v>
      </c>
      <c r="B74" t="s">
        <v>126</v>
      </c>
      <c r="C74" s="7" t="str">
        <f t="shared" si="6"/>
        <v>10</v>
      </c>
      <c r="D74" s="8" t="s">
        <v>109</v>
      </c>
      <c r="E74" s="7" t="str">
        <f t="shared" si="7"/>
        <v>31</v>
      </c>
      <c r="G74" s="5"/>
    </row>
    <row r="75" spans="1:7" x14ac:dyDescent="0.25">
      <c r="A75" s="9" t="str">
        <f t="shared" si="5"/>
        <v>00 STATUS - CHANGED CD</v>
      </c>
      <c r="B75" t="s">
        <v>124</v>
      </c>
      <c r="C75" s="7" t="str">
        <f t="shared" si="6"/>
        <v>31</v>
      </c>
      <c r="D75" s="8" t="s">
        <v>109</v>
      </c>
      <c r="E75" s="7" t="str">
        <f t="shared" si="7"/>
        <v>10</v>
      </c>
      <c r="G75" s="5"/>
    </row>
    <row r="76" spans="1:7" x14ac:dyDescent="0.25">
      <c r="A76" s="9" t="str">
        <f t="shared" si="5"/>
        <v>84 REQUEST MORE TEXT FIELDS - SEND DISC INFO</v>
      </c>
      <c r="B76" t="s">
        <v>127</v>
      </c>
      <c r="C76" s="7" t="str">
        <f t="shared" si="6"/>
        <v>10</v>
      </c>
      <c r="D76" s="8" t="s">
        <v>109</v>
      </c>
      <c r="E76" s="7" t="str">
        <f t="shared" si="7"/>
        <v>31</v>
      </c>
    </row>
    <row r="77" spans="1:7" x14ac:dyDescent="0.25">
      <c r="A77" s="9" t="str">
        <f t="shared" si="5"/>
        <v>01 MASTER REQUEST - SLAVE POLL</v>
      </c>
      <c r="B77" t="s">
        <v>122</v>
      </c>
      <c r="C77" s="7" t="str">
        <f t="shared" si="6"/>
        <v>10</v>
      </c>
      <c r="D77" s="8" t="s">
        <v>109</v>
      </c>
      <c r="E77" s="7" t="str">
        <f t="shared" si="7"/>
        <v>31</v>
      </c>
    </row>
    <row r="78" spans="1:7" x14ac:dyDescent="0.25">
      <c r="A78" s="9" t="str">
        <f t="shared" si="5"/>
        <v>95 MAGAZINE INFO - CD1 YES, CD2 YES, CD3 NO, CD4 NO, CD5 NO, CD6 NO</v>
      </c>
      <c r="B78" t="s">
        <v>128</v>
      </c>
      <c r="C78" s="7" t="str">
        <f t="shared" si="6"/>
        <v>31</v>
      </c>
      <c r="D78" s="8" t="s">
        <v>109</v>
      </c>
      <c r="E78" s="7" t="str">
        <f t="shared" si="7"/>
        <v>10</v>
      </c>
    </row>
    <row r="79" spans="1:7" x14ac:dyDescent="0.25">
      <c r="A79" s="9" t="str">
        <f t="shared" si="5"/>
        <v>01 MASTER REQUEST - SLAVE POLL</v>
      </c>
      <c r="B79" t="s">
        <v>122</v>
      </c>
      <c r="C79" s="7" t="str">
        <f t="shared" si="6"/>
        <v>10</v>
      </c>
      <c r="D79" s="8" t="s">
        <v>109</v>
      </c>
      <c r="E79" s="7" t="str">
        <f t="shared" si="7"/>
        <v>31</v>
      </c>
    </row>
    <row r="80" spans="1:7" x14ac:dyDescent="0.25">
      <c r="A80" s="9" t="str">
        <f t="shared" si="5"/>
        <v>97 DISC INFO - TRACKS: 10, MINS: 13, SECS: 46, DISC: 2</v>
      </c>
      <c r="B80" t="s">
        <v>152</v>
      </c>
      <c r="C80" s="7" t="str">
        <f t="shared" si="6"/>
        <v>31</v>
      </c>
      <c r="D80" s="8" t="s">
        <v>109</v>
      </c>
      <c r="E80" s="7" t="str">
        <f t="shared" si="7"/>
        <v>10</v>
      </c>
    </row>
    <row r="81" spans="1:5" x14ac:dyDescent="0.25">
      <c r="A81" s="9" t="str">
        <f t="shared" si="5"/>
        <v>B0 CHANGE TO DISC 2, TRACK 00</v>
      </c>
      <c r="B81" t="s">
        <v>149</v>
      </c>
      <c r="C81" s="7" t="str">
        <f t="shared" si="6"/>
        <v>11</v>
      </c>
      <c r="D81" s="8" t="s">
        <v>109</v>
      </c>
      <c r="E81" s="7" t="str">
        <f t="shared" si="7"/>
        <v>31</v>
      </c>
    </row>
    <row r="82" spans="1:5" x14ac:dyDescent="0.25">
      <c r="A82" s="9" t="str">
        <f t="shared" si="5"/>
        <v>01 MASTER REQUEST - SLAVE POLL</v>
      </c>
      <c r="B82" t="s">
        <v>122</v>
      </c>
      <c r="C82" s="7" t="str">
        <f t="shared" si="6"/>
        <v>10</v>
      </c>
      <c r="D82" s="8" t="s">
        <v>109</v>
      </c>
      <c r="E82" s="7" t="str">
        <f t="shared" si="7"/>
        <v>31</v>
      </c>
    </row>
    <row r="83" spans="1:5" x14ac:dyDescent="0.25">
      <c r="A83" s="9" t="str">
        <f t="shared" si="5"/>
        <v>01 MASTER REQUEST - SLAVE POLL</v>
      </c>
      <c r="B83" t="s">
        <v>122</v>
      </c>
      <c r="C83" s="7" t="str">
        <f t="shared" si="6"/>
        <v>10</v>
      </c>
      <c r="D83" s="8" t="s">
        <v>109</v>
      </c>
      <c r="E83" s="7" t="str">
        <f t="shared" si="7"/>
        <v>31</v>
      </c>
    </row>
    <row r="84" spans="1:5" x14ac:dyDescent="0.25">
      <c r="A84" s="9" t="str">
        <f t="shared" si="5"/>
        <v>84 REQUEST MORE TEXT FIELDS - SEND MAGAZINE INFO</v>
      </c>
      <c r="B84" t="s">
        <v>125</v>
      </c>
      <c r="C84" s="7" t="str">
        <f t="shared" si="6"/>
        <v>10</v>
      </c>
      <c r="D84" s="8" t="s">
        <v>109</v>
      </c>
      <c r="E84" s="7" t="str">
        <f t="shared" si="7"/>
        <v>31</v>
      </c>
    </row>
    <row r="85" spans="1:5" x14ac:dyDescent="0.25">
      <c r="A85" s="9" t="str">
        <f t="shared" si="5"/>
        <v>01 MASTER REQUEST - TIME POLL</v>
      </c>
      <c r="B85" t="s">
        <v>126</v>
      </c>
      <c r="C85" s="7" t="str">
        <f t="shared" si="6"/>
        <v>10</v>
      </c>
      <c r="D85" s="8" t="s">
        <v>109</v>
      </c>
      <c r="E85" s="7" t="str">
        <f t="shared" si="7"/>
        <v>31</v>
      </c>
    </row>
    <row r="86" spans="1:5" x14ac:dyDescent="0.25">
      <c r="A86" s="9" t="str">
        <f t="shared" si="5"/>
        <v>00 STATUS - CHANGED CD</v>
      </c>
      <c r="B86" t="s">
        <v>124</v>
      </c>
      <c r="C86" s="7" t="str">
        <f t="shared" si="6"/>
        <v>31</v>
      </c>
      <c r="D86" s="8" t="s">
        <v>109</v>
      </c>
      <c r="E86" s="7" t="str">
        <f t="shared" si="7"/>
        <v>10</v>
      </c>
    </row>
    <row r="87" spans="1:5" x14ac:dyDescent="0.25">
      <c r="A87" s="9" t="str">
        <f t="shared" si="5"/>
        <v>84 REQUEST MORE TEXT FIELDS - SEND DISC INFO</v>
      </c>
      <c r="B87" t="s">
        <v>127</v>
      </c>
      <c r="C87" s="7" t="str">
        <f t="shared" si="6"/>
        <v>10</v>
      </c>
      <c r="D87" s="8" t="s">
        <v>109</v>
      </c>
      <c r="E87" s="7" t="str">
        <f t="shared" si="7"/>
        <v>31</v>
      </c>
    </row>
    <row r="88" spans="1:5" x14ac:dyDescent="0.25">
      <c r="A88" s="9" t="str">
        <f t="shared" si="5"/>
        <v>01 MASTER REQUEST - SLAVE POLL</v>
      </c>
      <c r="B88" t="s">
        <v>122</v>
      </c>
      <c r="C88" s="7" t="str">
        <f t="shared" si="6"/>
        <v>10</v>
      </c>
      <c r="D88" s="8" t="s">
        <v>109</v>
      </c>
      <c r="E88" s="7" t="str">
        <f t="shared" si="7"/>
        <v>31</v>
      </c>
    </row>
    <row r="89" spans="1:5" x14ac:dyDescent="0.25">
      <c r="A89" s="9" t="str">
        <f t="shared" si="5"/>
        <v>95 MAGAZINE INFO - CD1 YES, CD2 YES, CD3 NO, CD4 NO, CD5 NO, CD6 NO</v>
      </c>
      <c r="B89" t="s">
        <v>128</v>
      </c>
      <c r="C89" s="7" t="str">
        <f t="shared" si="6"/>
        <v>31</v>
      </c>
      <c r="D89" s="8" t="s">
        <v>109</v>
      </c>
      <c r="E89" s="7" t="str">
        <f t="shared" si="7"/>
        <v>10</v>
      </c>
    </row>
    <row r="90" spans="1:5" x14ac:dyDescent="0.25">
      <c r="A90" s="9" t="str">
        <f t="shared" si="5"/>
        <v>01 MASTER REQUEST - SLAVE POLL</v>
      </c>
      <c r="B90" t="s">
        <v>122</v>
      </c>
      <c r="C90" s="7" t="str">
        <f t="shared" si="6"/>
        <v>10</v>
      </c>
      <c r="D90" s="8" t="s">
        <v>109</v>
      </c>
      <c r="E90" s="7" t="str">
        <f t="shared" si="7"/>
        <v>31</v>
      </c>
    </row>
    <row r="91" spans="1:5" x14ac:dyDescent="0.25">
      <c r="A91" s="9" t="str">
        <f t="shared" si="5"/>
        <v>97 DISC INFO - TRACKS: 10, MINS: 13, SECS: 46, DISC: 2</v>
      </c>
      <c r="B91" t="s">
        <v>152</v>
      </c>
      <c r="C91" s="7" t="str">
        <f t="shared" si="6"/>
        <v>31</v>
      </c>
      <c r="D91" s="8" t="s">
        <v>109</v>
      </c>
      <c r="E91" s="7" t="str">
        <f t="shared" si="7"/>
        <v>10</v>
      </c>
    </row>
    <row r="92" spans="1:5" x14ac:dyDescent="0.25">
      <c r="A92" s="9" t="str">
        <f t="shared" si="5"/>
        <v>84 REQUEST MORE TEXT FIELDS - SEND MAGAZINE INFO</v>
      </c>
      <c r="B92" t="s">
        <v>125</v>
      </c>
      <c r="C92" s="7" t="str">
        <f t="shared" si="6"/>
        <v>10</v>
      </c>
      <c r="D92" s="8" t="s">
        <v>109</v>
      </c>
      <c r="E92" s="7" t="str">
        <f t="shared" si="7"/>
        <v>31</v>
      </c>
    </row>
    <row r="93" spans="1:5" x14ac:dyDescent="0.25">
      <c r="A93" s="9" t="str">
        <f t="shared" si="5"/>
        <v>01 MASTER REQUEST - TIME POLL</v>
      </c>
      <c r="B93" t="s">
        <v>126</v>
      </c>
      <c r="C93" s="7" t="str">
        <f t="shared" si="6"/>
        <v>10</v>
      </c>
      <c r="D93" s="8" t="s">
        <v>109</v>
      </c>
      <c r="E93" s="7" t="str">
        <f t="shared" si="7"/>
        <v>31</v>
      </c>
    </row>
    <row r="94" spans="1:5" x14ac:dyDescent="0.25">
      <c r="A94" s="9" t="str">
        <f t="shared" si="5"/>
        <v>00 STATUS - CHANGED CD</v>
      </c>
      <c r="B94" t="s">
        <v>124</v>
      </c>
      <c r="C94" s="7" t="str">
        <f t="shared" si="6"/>
        <v>31</v>
      </c>
      <c r="D94" s="8" t="s">
        <v>109</v>
      </c>
      <c r="E94" s="7" t="str">
        <f t="shared" si="7"/>
        <v>10</v>
      </c>
    </row>
    <row r="95" spans="1:5" x14ac:dyDescent="0.25">
      <c r="A95" s="9" t="str">
        <f t="shared" si="5"/>
        <v>84 REQUEST MORE TEXT FIELDS - SEND DISC INFO</v>
      </c>
      <c r="B95" t="s">
        <v>127</v>
      </c>
      <c r="C95" s="7" t="str">
        <f t="shared" si="6"/>
        <v>10</v>
      </c>
      <c r="D95" s="8" t="s">
        <v>109</v>
      </c>
      <c r="E95" s="7" t="str">
        <f t="shared" si="7"/>
        <v>31</v>
      </c>
    </row>
    <row r="96" spans="1:5" x14ac:dyDescent="0.25">
      <c r="A96" s="9" t="str">
        <f t="shared" si="5"/>
        <v>01 MASTER REQUEST - SLAVE POLL</v>
      </c>
      <c r="B96" t="s">
        <v>122</v>
      </c>
      <c r="C96" s="7" t="str">
        <f t="shared" si="6"/>
        <v>10</v>
      </c>
      <c r="D96" s="8" t="s">
        <v>109</v>
      </c>
      <c r="E96" s="7" t="str">
        <f t="shared" si="7"/>
        <v>31</v>
      </c>
    </row>
    <row r="97" spans="1:5" x14ac:dyDescent="0.25">
      <c r="A97" s="9" t="str">
        <f t="shared" si="5"/>
        <v>95 MAGAZINE INFO - CD1 YES, CD2 YES, CD3 NO, CD4 NO, CD5 NO, CD6 NO</v>
      </c>
      <c r="B97" t="s">
        <v>128</v>
      </c>
      <c r="C97" s="7" t="str">
        <f t="shared" si="6"/>
        <v>31</v>
      </c>
      <c r="D97" s="8" t="s">
        <v>109</v>
      </c>
      <c r="E97" s="7" t="str">
        <f t="shared" si="7"/>
        <v>10</v>
      </c>
    </row>
    <row r="98" spans="1:5" x14ac:dyDescent="0.25">
      <c r="A98" s="9" t="str">
        <f t="shared" si="5"/>
        <v>01 MASTER REQUEST - SLAVE POLL</v>
      </c>
      <c r="B98" t="s">
        <v>122</v>
      </c>
      <c r="C98" s="7" t="str">
        <f t="shared" si="6"/>
        <v>10</v>
      </c>
      <c r="D98" s="8" t="s">
        <v>109</v>
      </c>
      <c r="E98" s="7" t="str">
        <f t="shared" si="7"/>
        <v>31</v>
      </c>
    </row>
    <row r="99" spans="1:5" x14ac:dyDescent="0.25">
      <c r="A99" s="9" t="str">
        <f t="shared" si="5"/>
        <v>97 DISC INFO - TRACKS: 10, MINS: 50, SECS: 13, DISC: 2</v>
      </c>
      <c r="B99" t="s">
        <v>154</v>
      </c>
      <c r="C99" s="7" t="str">
        <f t="shared" si="6"/>
        <v>31</v>
      </c>
      <c r="D99" s="8" t="s">
        <v>109</v>
      </c>
      <c r="E99" s="7" t="str">
        <f t="shared" si="7"/>
        <v>10</v>
      </c>
    </row>
    <row r="100" spans="1:5" x14ac:dyDescent="0.25">
      <c r="A100" s="9" t="str">
        <f t="shared" si="5"/>
        <v>01 MASTER REQUEST - SLAVE POLL</v>
      </c>
      <c r="B100" t="s">
        <v>122</v>
      </c>
      <c r="C100" s="7" t="str">
        <f t="shared" si="6"/>
        <v>10</v>
      </c>
      <c r="D100" s="8" t="s">
        <v>109</v>
      </c>
      <c r="E100" s="7" t="str">
        <f t="shared" si="7"/>
        <v>31</v>
      </c>
    </row>
    <row r="101" spans="1:5" x14ac:dyDescent="0.25">
      <c r="A101" s="9" t="str">
        <f t="shared" si="5"/>
        <v>94 Configuration change - Mute OFF, Loudness OFF, Phone unmuted</v>
      </c>
      <c r="B101" t="s">
        <v>139</v>
      </c>
      <c r="C101" s="7" t="str">
        <f t="shared" si="6"/>
        <v>31</v>
      </c>
      <c r="D101" s="8" t="s">
        <v>109</v>
      </c>
      <c r="E101" s="7" t="str">
        <f t="shared" si="7"/>
        <v>70</v>
      </c>
    </row>
    <row r="102" spans="1:5" x14ac:dyDescent="0.25">
      <c r="A102" s="9" t="str">
        <f t="shared" si="5"/>
        <v>01 MASTER REQUEST - SLAVE POLL</v>
      </c>
      <c r="B102" t="s">
        <v>122</v>
      </c>
      <c r="C102" s="7" t="str">
        <f t="shared" si="6"/>
        <v>10</v>
      </c>
      <c r="D102" s="8" t="s">
        <v>109</v>
      </c>
      <c r="E102" s="7" t="str">
        <f t="shared" si="7"/>
        <v>31</v>
      </c>
    </row>
    <row r="103" spans="1:5" x14ac:dyDescent="0.25">
      <c r="A103" s="9" t="str">
        <f t="shared" si="5"/>
        <v>00 STATUS - CHANGED CD</v>
      </c>
      <c r="B103" t="s">
        <v>124</v>
      </c>
      <c r="C103" s="7" t="str">
        <f t="shared" si="6"/>
        <v>31</v>
      </c>
      <c r="D103" s="8" t="s">
        <v>109</v>
      </c>
      <c r="E103" s="7" t="str">
        <f t="shared" si="7"/>
        <v>10</v>
      </c>
    </row>
    <row r="104" spans="1:5" x14ac:dyDescent="0.25">
      <c r="A104" s="9" t="str">
        <f t="shared" si="5"/>
        <v>01 MASTER REQUEST - SLAVE POLL</v>
      </c>
      <c r="B104" t="s">
        <v>122</v>
      </c>
      <c r="C104" s="7" t="str">
        <f t="shared" si="6"/>
        <v>10</v>
      </c>
      <c r="D104" s="8" t="s">
        <v>109</v>
      </c>
      <c r="E104" s="7" t="str">
        <f t="shared" si="7"/>
        <v>31</v>
      </c>
    </row>
    <row r="105" spans="1:5" x14ac:dyDescent="0.25">
      <c r="A105" s="9" t="str">
        <f t="shared" si="5"/>
        <v>01 MASTER REQUEST - SLAVE POLL</v>
      </c>
      <c r="B105" t="s">
        <v>122</v>
      </c>
      <c r="C105" s="7" t="str">
        <f t="shared" si="6"/>
        <v>10</v>
      </c>
      <c r="D105" s="8" t="s">
        <v>109</v>
      </c>
      <c r="E105" s="7" t="str">
        <f t="shared" si="7"/>
        <v>31</v>
      </c>
    </row>
    <row r="106" spans="1:5" x14ac:dyDescent="0.25">
      <c r="A106" s="9" t="str">
        <f t="shared" si="5"/>
        <v>00 STATUS - PLAYING</v>
      </c>
      <c r="B106" t="s">
        <v>141</v>
      </c>
      <c r="C106" s="7" t="str">
        <f t="shared" si="6"/>
        <v>31</v>
      </c>
      <c r="D106" s="8" t="s">
        <v>109</v>
      </c>
      <c r="E106" s="7" t="str">
        <f t="shared" si="7"/>
        <v>10</v>
      </c>
    </row>
    <row r="107" spans="1:5" x14ac:dyDescent="0.25">
      <c r="A107" s="9" t="str">
        <f t="shared" si="5"/>
        <v>B0 CHANGE TO DISC 2, TRACK 00</v>
      </c>
      <c r="B107" t="s">
        <v>149</v>
      </c>
      <c r="C107" s="7" t="str">
        <f t="shared" si="6"/>
        <v>11</v>
      </c>
      <c r="D107" s="8" t="s">
        <v>109</v>
      </c>
      <c r="E107" s="7" t="str">
        <f t="shared" si="7"/>
        <v>31</v>
      </c>
    </row>
    <row r="108" spans="1:5" x14ac:dyDescent="0.25">
      <c r="A108" s="9" t="str">
        <f t="shared" si="5"/>
        <v>84 REQUEST MORE TEXT FIELDS - SEND MAGAZINE INFO</v>
      </c>
      <c r="B108" t="s">
        <v>125</v>
      </c>
      <c r="C108" s="7" t="str">
        <f t="shared" si="6"/>
        <v>10</v>
      </c>
      <c r="D108" s="8" t="s">
        <v>109</v>
      </c>
      <c r="E108" s="7" t="str">
        <f t="shared" si="7"/>
        <v>31</v>
      </c>
    </row>
    <row r="109" spans="1:5" x14ac:dyDescent="0.25">
      <c r="A109" s="9" t="str">
        <f t="shared" si="5"/>
        <v>01 MASTER REQUEST - TIME POLL</v>
      </c>
      <c r="B109" t="s">
        <v>126</v>
      </c>
      <c r="C109" s="7" t="str">
        <f t="shared" si="6"/>
        <v>10</v>
      </c>
      <c r="D109" s="8" t="s">
        <v>109</v>
      </c>
      <c r="E109" s="7" t="str">
        <f t="shared" si="7"/>
        <v>31</v>
      </c>
    </row>
    <row r="110" spans="1:5" x14ac:dyDescent="0.25">
      <c r="A110" s="9" t="str">
        <f t="shared" si="5"/>
        <v>00 STATUS - CHANGED CD</v>
      </c>
      <c r="B110" t="s">
        <v>124</v>
      </c>
      <c r="C110" s="7" t="str">
        <f t="shared" si="6"/>
        <v>31</v>
      </c>
      <c r="D110" s="8" t="s">
        <v>109</v>
      </c>
      <c r="E110" s="7" t="str">
        <f t="shared" si="7"/>
        <v>10</v>
      </c>
    </row>
    <row r="111" spans="1:5" x14ac:dyDescent="0.25">
      <c r="A111" s="9" t="str">
        <f t="shared" si="5"/>
        <v>84 REQUEST MORE TEXT FIELDS - SEND DISC INFO</v>
      </c>
      <c r="B111" t="s">
        <v>127</v>
      </c>
      <c r="C111" s="7" t="str">
        <f t="shared" si="6"/>
        <v>10</v>
      </c>
      <c r="D111" s="8" t="s">
        <v>109</v>
      </c>
      <c r="E111" s="7" t="str">
        <f t="shared" si="7"/>
        <v>31</v>
      </c>
    </row>
    <row r="112" spans="1:5" x14ac:dyDescent="0.25">
      <c r="A112" s="9" t="str">
        <f t="shared" si="5"/>
        <v>01 MASTER REQUEST - SLAVE POLL</v>
      </c>
      <c r="B112" t="s">
        <v>122</v>
      </c>
      <c r="C112" s="7" t="str">
        <f t="shared" si="6"/>
        <v>10</v>
      </c>
      <c r="D112" s="8" t="s">
        <v>109</v>
      </c>
      <c r="E112" s="7" t="str">
        <f t="shared" si="7"/>
        <v>31</v>
      </c>
    </row>
    <row r="113" spans="1:5" x14ac:dyDescent="0.25">
      <c r="A113" s="9" t="str">
        <f t="shared" si="5"/>
        <v>95 MAGAZINE INFO - CD1 YES, CD2 YES, CD3 NO, CD4 NO, CD5 NO, CD6 NO</v>
      </c>
      <c r="B113" t="s">
        <v>128</v>
      </c>
      <c r="C113" s="7" t="str">
        <f t="shared" si="6"/>
        <v>31</v>
      </c>
      <c r="D113" s="8" t="s">
        <v>109</v>
      </c>
      <c r="E113" s="7" t="str">
        <f t="shared" si="7"/>
        <v>10</v>
      </c>
    </row>
    <row r="114" spans="1:5" x14ac:dyDescent="0.25">
      <c r="A114" s="9" t="str">
        <f t="shared" si="5"/>
        <v>01 MASTER REQUEST - SLAVE POLL</v>
      </c>
      <c r="B114" t="s">
        <v>122</v>
      </c>
      <c r="C114" s="7" t="str">
        <f t="shared" si="6"/>
        <v>10</v>
      </c>
      <c r="D114" s="8" t="s">
        <v>109</v>
      </c>
      <c r="E114" s="7" t="str">
        <f t="shared" si="7"/>
        <v>31</v>
      </c>
    </row>
    <row r="115" spans="1:5" x14ac:dyDescent="0.25">
      <c r="A115" s="9" t="str">
        <f t="shared" si="5"/>
        <v>01 MASTER REQUEST - SLAVE POLL</v>
      </c>
      <c r="B115" t="s">
        <v>122</v>
      </c>
      <c r="C115" s="7" t="str">
        <f t="shared" si="6"/>
        <v>10</v>
      </c>
      <c r="D115" s="8" t="s">
        <v>109</v>
      </c>
      <c r="E115" s="7" t="str">
        <f t="shared" si="7"/>
        <v>31</v>
      </c>
    </row>
    <row r="116" spans="1:5" x14ac:dyDescent="0.25">
      <c r="A116" s="9" t="str">
        <f t="shared" si="5"/>
        <v>97 DISC INFO - TRACKS: 10, MINS: 50, SECS: 13, DISC: 2</v>
      </c>
      <c r="B116" t="s">
        <v>154</v>
      </c>
      <c r="C116" s="7" t="str">
        <f t="shared" si="6"/>
        <v>31</v>
      </c>
      <c r="D116" s="8" t="s">
        <v>109</v>
      </c>
      <c r="E116" s="7" t="str">
        <f t="shared" si="7"/>
        <v>10</v>
      </c>
    </row>
    <row r="117" spans="1:5" x14ac:dyDescent="0.25">
      <c r="A117" s="9" t="str">
        <f t="shared" si="5"/>
        <v>01 MASTER REQUEST - SLAVE POLL</v>
      </c>
      <c r="B117" t="s">
        <v>122</v>
      </c>
      <c r="C117" s="7" t="str">
        <f t="shared" si="6"/>
        <v>10</v>
      </c>
      <c r="D117" s="8" t="s">
        <v>109</v>
      </c>
      <c r="E117" s="7" t="str">
        <f t="shared" si="7"/>
        <v>31</v>
      </c>
    </row>
    <row r="118" spans="1:5" x14ac:dyDescent="0.25">
      <c r="A118" s="9" t="str">
        <f t="shared" si="5"/>
        <v>01 MASTER REQUEST - SLAVE POLL</v>
      </c>
      <c r="B118" t="s">
        <v>122</v>
      </c>
      <c r="C118" s="7" t="str">
        <f t="shared" si="6"/>
        <v>10</v>
      </c>
      <c r="D118" s="8" t="s">
        <v>109</v>
      </c>
      <c r="E118" s="7" t="str">
        <f t="shared" si="7"/>
        <v>31</v>
      </c>
    </row>
    <row r="119" spans="1:5" x14ac:dyDescent="0.25">
      <c r="A119" s="9" t="str">
        <f t="shared" si="5"/>
        <v>90 TIME- TRACK: 01, 00:01, DISC: 2</v>
      </c>
      <c r="B119" t="s">
        <v>155</v>
      </c>
      <c r="C119" s="7" t="str">
        <f t="shared" si="6"/>
        <v>31</v>
      </c>
      <c r="D119" s="8" t="s">
        <v>109</v>
      </c>
      <c r="E119" s="7" t="str">
        <f t="shared" si="7"/>
        <v>70</v>
      </c>
    </row>
    <row r="120" spans="1:5" x14ac:dyDescent="0.25">
      <c r="A120" s="9" t="str">
        <f t="shared" si="5"/>
        <v>84 REQUEST MORE TEXT FIELDS - SEND MAGAZINE INFO</v>
      </c>
      <c r="B120" t="s">
        <v>125</v>
      </c>
      <c r="C120" s="7" t="str">
        <f t="shared" si="6"/>
        <v>10</v>
      </c>
      <c r="D120" s="8" t="s">
        <v>109</v>
      </c>
      <c r="E120" s="7" t="str">
        <f t="shared" si="7"/>
        <v>31</v>
      </c>
    </row>
    <row r="121" spans="1:5" x14ac:dyDescent="0.25">
      <c r="A121" s="9" t="str">
        <f t="shared" si="5"/>
        <v>01 MASTER REQUEST - TIME POLL</v>
      </c>
      <c r="B121" t="s">
        <v>126</v>
      </c>
      <c r="C121" s="7" t="str">
        <f t="shared" si="6"/>
        <v>10</v>
      </c>
      <c r="D121" s="8" t="s">
        <v>109</v>
      </c>
      <c r="E121" s="7" t="str">
        <f t="shared" si="7"/>
        <v>31</v>
      </c>
    </row>
    <row r="122" spans="1:5" x14ac:dyDescent="0.25">
      <c r="A122" s="9" t="str">
        <f t="shared" si="5"/>
        <v>00 STATUS - PLAYING</v>
      </c>
      <c r="B122" t="s">
        <v>141</v>
      </c>
      <c r="C122" s="7" t="str">
        <f t="shared" si="6"/>
        <v>31</v>
      </c>
      <c r="D122" s="8" t="s">
        <v>109</v>
      </c>
      <c r="E122" s="7" t="str">
        <f t="shared" si="7"/>
        <v>10</v>
      </c>
    </row>
    <row r="123" spans="1:5" x14ac:dyDescent="0.25">
      <c r="A123" s="9" t="str">
        <f t="shared" si="5"/>
        <v>84 REQUEST MORE TEXT FIELDS - SEND DISC INFO</v>
      </c>
      <c r="B123" t="s">
        <v>127</v>
      </c>
      <c r="C123" s="7" t="str">
        <f t="shared" si="6"/>
        <v>10</v>
      </c>
      <c r="D123" s="8" t="s">
        <v>109</v>
      </c>
      <c r="E123" s="7" t="str">
        <f t="shared" si="7"/>
        <v>31</v>
      </c>
    </row>
    <row r="124" spans="1:5" x14ac:dyDescent="0.25">
      <c r="A124" s="9" t="str">
        <f t="shared" si="5"/>
        <v>01 MASTER REQUEST - SLAVE POLL</v>
      </c>
      <c r="B124" t="s">
        <v>122</v>
      </c>
      <c r="C124" s="7" t="str">
        <f t="shared" si="6"/>
        <v>10</v>
      </c>
      <c r="D124" s="8" t="s">
        <v>109</v>
      </c>
      <c r="E124" s="7" t="str">
        <f t="shared" si="7"/>
        <v>31</v>
      </c>
    </row>
    <row r="125" spans="1:5" x14ac:dyDescent="0.25">
      <c r="A125" s="9" t="str">
        <f t="shared" si="5"/>
        <v>95 MAGAZINE INFO - CD1 YES, CD2 YES, CD3 NO, CD4 NO, CD5 NO, CD6 NO</v>
      </c>
      <c r="B125" t="s">
        <v>128</v>
      </c>
      <c r="C125" s="7" t="str">
        <f t="shared" si="6"/>
        <v>31</v>
      </c>
      <c r="D125" s="8" t="s">
        <v>109</v>
      </c>
      <c r="E125" s="7" t="str">
        <f t="shared" si="7"/>
        <v>10</v>
      </c>
    </row>
    <row r="126" spans="1:5" x14ac:dyDescent="0.25">
      <c r="A126" s="9" t="str">
        <f t="shared" si="5"/>
        <v>01 MASTER REQUEST - SLAVE POLL</v>
      </c>
      <c r="B126" t="s">
        <v>122</v>
      </c>
      <c r="C126" s="7" t="str">
        <f t="shared" si="6"/>
        <v>10</v>
      </c>
      <c r="D126" s="8" t="s">
        <v>109</v>
      </c>
      <c r="E126" s="7" t="str">
        <f t="shared" si="7"/>
        <v>31</v>
      </c>
    </row>
    <row r="127" spans="1:5" x14ac:dyDescent="0.25">
      <c r="A127" s="9" t="str">
        <f t="shared" si="5"/>
        <v>97 DISC INFO - TRACKS: 10, MINS: 50, SECS: 13, DISC: 2</v>
      </c>
      <c r="B127" t="s">
        <v>154</v>
      </c>
      <c r="C127" s="7" t="str">
        <f t="shared" si="6"/>
        <v>31</v>
      </c>
      <c r="D127" s="8" t="s">
        <v>109</v>
      </c>
      <c r="E127" s="7" t="str">
        <f t="shared" si="7"/>
        <v>10</v>
      </c>
    </row>
    <row r="128" spans="1:5" x14ac:dyDescent="0.25">
      <c r="A128" s="9" t="str">
        <f t="shared" si="5"/>
        <v>01 MASTER REQUEST - SLAVE POLL</v>
      </c>
      <c r="B128" t="s">
        <v>122</v>
      </c>
      <c r="C128" s="7" t="str">
        <f t="shared" si="6"/>
        <v>10</v>
      </c>
      <c r="D128" s="8" t="s">
        <v>109</v>
      </c>
      <c r="E128" s="7" t="str">
        <f t="shared" si="7"/>
        <v>31</v>
      </c>
    </row>
    <row r="129" spans="1:5" x14ac:dyDescent="0.25">
      <c r="A129" s="9" t="str">
        <f t="shared" si="5"/>
        <v>01 MASTER REQUEST - SLAVE POLL</v>
      </c>
      <c r="B129" t="s">
        <v>122</v>
      </c>
      <c r="C129" s="7" t="str">
        <f t="shared" si="6"/>
        <v>10</v>
      </c>
      <c r="D129" s="8" t="s">
        <v>109</v>
      </c>
      <c r="E129" s="7" t="str">
        <f t="shared" si="7"/>
        <v>31</v>
      </c>
    </row>
    <row r="130" spans="1:5" x14ac:dyDescent="0.25">
      <c r="A130" s="9" t="str">
        <f t="shared" si="5"/>
        <v>00 STATUS - PLAYING</v>
      </c>
      <c r="B130" t="s">
        <v>141</v>
      </c>
      <c r="C130" s="7" t="str">
        <f t="shared" si="6"/>
        <v>31</v>
      </c>
      <c r="D130" s="8" t="s">
        <v>109</v>
      </c>
      <c r="E130" s="7" t="str">
        <f t="shared" si="7"/>
        <v>10</v>
      </c>
    </row>
    <row r="131" spans="1:5" x14ac:dyDescent="0.25">
      <c r="A131" s="9" t="str">
        <f t="shared" ref="A131:A137" si="8">ParseUnilink(B131)</f>
        <v>84 REQUEST MORE TEXT FIELDS - SEND MAGAZINE INFO</v>
      </c>
      <c r="B131" t="s">
        <v>125</v>
      </c>
      <c r="C131" s="7" t="str">
        <f t="shared" ref="C131:C137" si="9">MID(B131,4,2)</f>
        <v>10</v>
      </c>
      <c r="D131" s="8" t="s">
        <v>109</v>
      </c>
      <c r="E131" s="7" t="str">
        <f t="shared" ref="E131:E137" si="10">MID(B131,1,2)</f>
        <v>31</v>
      </c>
    </row>
    <row r="132" spans="1:5" x14ac:dyDescent="0.25">
      <c r="A132" s="9" t="str">
        <f t="shared" si="8"/>
        <v>01 MASTER REQUEST - TIME POLL</v>
      </c>
      <c r="B132" t="s">
        <v>126</v>
      </c>
      <c r="C132" s="7" t="str">
        <f t="shared" si="9"/>
        <v>10</v>
      </c>
      <c r="D132" s="8" t="s">
        <v>109</v>
      </c>
      <c r="E132" s="7" t="str">
        <f t="shared" si="10"/>
        <v>31</v>
      </c>
    </row>
    <row r="133" spans="1:5" x14ac:dyDescent="0.25">
      <c r="A133" s="9" t="str">
        <f t="shared" si="8"/>
        <v>00 STATUS - PLAYING</v>
      </c>
      <c r="B133" t="s">
        <v>141</v>
      </c>
      <c r="C133" s="7" t="str">
        <f t="shared" si="9"/>
        <v>31</v>
      </c>
      <c r="D133" s="8" t="s">
        <v>109</v>
      </c>
      <c r="E133" s="7" t="str">
        <f t="shared" si="10"/>
        <v>10</v>
      </c>
    </row>
    <row r="134" spans="1:5" x14ac:dyDescent="0.25">
      <c r="A134" s="9" t="str">
        <f t="shared" si="8"/>
        <v>84 REQUEST MORE TEXT FIELDS - SEND DISC INFO</v>
      </c>
      <c r="B134" t="s">
        <v>127</v>
      </c>
      <c r="C134" s="7" t="str">
        <f t="shared" si="9"/>
        <v>10</v>
      </c>
      <c r="D134" s="8" t="s">
        <v>109</v>
      </c>
      <c r="E134" s="7" t="str">
        <f t="shared" si="10"/>
        <v>31</v>
      </c>
    </row>
    <row r="135" spans="1:5" x14ac:dyDescent="0.25">
      <c r="A135" s="9" t="str">
        <f t="shared" si="8"/>
        <v>01 MASTER REQUEST - SLAVE POLL</v>
      </c>
      <c r="B135" t="s">
        <v>122</v>
      </c>
      <c r="C135" s="7" t="str">
        <f t="shared" si="9"/>
        <v>10</v>
      </c>
      <c r="D135" s="8" t="s">
        <v>109</v>
      </c>
      <c r="E135" s="7" t="str">
        <f t="shared" si="10"/>
        <v>31</v>
      </c>
    </row>
    <row r="136" spans="1:5" x14ac:dyDescent="0.25">
      <c r="A136" s="9" t="str">
        <f t="shared" si="8"/>
        <v>95 MAGAZINE INFO - CD1 YES, CD2 YES, CD3 NO, CD4 NO, CD5 NO, CD6 NO</v>
      </c>
      <c r="B136" t="s">
        <v>128</v>
      </c>
      <c r="C136" s="7" t="str">
        <f t="shared" si="9"/>
        <v>31</v>
      </c>
      <c r="D136" s="8" t="s">
        <v>109</v>
      </c>
      <c r="E136" s="7" t="str">
        <f t="shared" si="10"/>
        <v>10</v>
      </c>
    </row>
    <row r="137" spans="1:5" x14ac:dyDescent="0.25">
      <c r="A137" s="9" t="str">
        <f t="shared" si="8"/>
        <v>01 MASTER REQUEST - SLAVE POLL</v>
      </c>
      <c r="B137" t="s">
        <v>122</v>
      </c>
      <c r="C137" s="7" t="str">
        <f t="shared" si="9"/>
        <v>10</v>
      </c>
      <c r="D137" s="8" t="s">
        <v>109</v>
      </c>
      <c r="E137" s="7" t="str">
        <f t="shared" si="10"/>
        <v>31</v>
      </c>
    </row>
  </sheetData>
  <conditionalFormatting sqref="A2:A137">
    <cfRule type="expression" dxfId="99" priority="7">
      <formula>AND(EXACT($A$1,"01"),EXACT(MID(B2,7,5),"01 02"))</formula>
    </cfRule>
    <cfRule type="expression" dxfId="98" priority="8">
      <formula>AND(EXACT($A$1,"01"),EXACT(MID(B2,7,5),"01 00"))</formula>
    </cfRule>
    <cfRule type="expression" dxfId="91" priority="9">
      <formula>EXACT(UPPER($A$1),UPPER(MID(B2,7,2)))</formula>
    </cfRule>
  </conditionalFormatting>
  <conditionalFormatting sqref="B2:B137">
    <cfRule type="expression" dxfId="97" priority="10">
      <formula>EXACT(MID(B2,4,2),"31")</formula>
    </cfRule>
    <cfRule type="expression" dxfId="96" priority="11">
      <formula>EXACT(MID(B2,4,2),"30")</formula>
    </cfRule>
    <cfRule type="expression" dxfId="95" priority="12">
      <formula>EXACT(MID(B2,4,2),"10")</formula>
    </cfRule>
    <cfRule type="expression" dxfId="94" priority="13">
      <formula>EXACT(MID(B2,4,2),"11")</formula>
    </cfRule>
  </conditionalFormatting>
  <conditionalFormatting sqref="C2:C137 E2:E137">
    <cfRule type="expression" dxfId="93" priority="2">
      <formula>GESTEP(HEX2DEC($E2),70)</formula>
    </cfRule>
  </conditionalFormatting>
  <conditionalFormatting sqref="D2:D137">
    <cfRule type="expression" dxfId="92" priority="1">
      <formula>GESTEP(HEX2DEC($E2),70)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Refresh_button_Click">
                <anchor mov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752475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/>
  <dimension ref="A1:L224"/>
  <sheetViews>
    <sheetView workbookViewId="0"/>
  </sheetViews>
  <sheetFormatPr baseColWidth="10" defaultRowHeight="15" x14ac:dyDescent="0.25"/>
  <cols>
    <col min="1" max="1" width="80.7109375" customWidth="1"/>
    <col min="2" max="2" width="38.7109375" customWidth="1"/>
    <col min="3" max="5" width="3.7109375" customWidth="1"/>
    <col min="7" max="7" width="20.7109375" customWidth="1"/>
    <col min="8" max="8" width="6.7109375" customWidth="1"/>
  </cols>
  <sheetData>
    <row r="1" spans="1:12" x14ac:dyDescent="0.25">
      <c r="A1" s="11" t="s">
        <v>316</v>
      </c>
      <c r="B1" s="10" t="s">
        <v>184</v>
      </c>
      <c r="C1" t="s">
        <v>185</v>
      </c>
      <c r="E1" t="s">
        <v>186</v>
      </c>
      <c r="G1" s="19" t="s">
        <v>315</v>
      </c>
      <c r="H1" s="19"/>
      <c r="I1" s="19"/>
      <c r="J1" s="18"/>
      <c r="K1" s="18"/>
      <c r="L1" s="18"/>
    </row>
    <row r="2" spans="1:12" x14ac:dyDescent="0.25">
      <c r="A2" s="9" t="str">
        <f>ParseUnilink(B2)</f>
        <v>01 MASTER REQUEST - TIME POLL</v>
      </c>
      <c r="B2" t="s">
        <v>126</v>
      </c>
      <c r="C2" s="7" t="str">
        <f t="shared" ref="C2" si="0">MID(B2,4,2)</f>
        <v>10</v>
      </c>
      <c r="D2" s="8" t="s">
        <v>109</v>
      </c>
      <c r="E2" s="7" t="str">
        <f t="shared" ref="E2" si="1">MID(B2,1,2)</f>
        <v>31</v>
      </c>
      <c r="G2" s="19" t="s">
        <v>108</v>
      </c>
      <c r="H2" s="18"/>
      <c r="I2" s="18"/>
      <c r="J2" s="18"/>
      <c r="K2" s="18"/>
      <c r="L2" s="18"/>
    </row>
    <row r="3" spans="1:12" x14ac:dyDescent="0.25">
      <c r="A3" s="9" t="str">
        <f t="shared" ref="A3:A66" si="2">ParseUnilink(B3)</f>
        <v>00 STATUS - PLAYING</v>
      </c>
      <c r="B3" t="s">
        <v>141</v>
      </c>
      <c r="C3" s="7" t="str">
        <f t="shared" ref="C3:C66" si="3">MID(B3,4,2)</f>
        <v>31</v>
      </c>
      <c r="D3" s="8" t="s">
        <v>109</v>
      </c>
      <c r="E3" s="7" t="str">
        <f t="shared" ref="E3:E66" si="4">MID(B3,1,2)</f>
        <v>10</v>
      </c>
    </row>
    <row r="4" spans="1:12" ht="15.75" thickBot="1" x14ac:dyDescent="0.3">
      <c r="A4" s="9" t="str">
        <f>ParseUnilink(B4)</f>
        <v>84 REQUEST MORE TEXT FIELDS - SEND DISC INFO</v>
      </c>
      <c r="B4" t="s">
        <v>127</v>
      </c>
      <c r="C4" s="7" t="str">
        <f t="shared" si="3"/>
        <v>10</v>
      </c>
      <c r="D4" s="8" t="s">
        <v>109</v>
      </c>
      <c r="E4" s="7" t="str">
        <f t="shared" si="4"/>
        <v>31</v>
      </c>
    </row>
    <row r="5" spans="1:12" ht="15.75" thickBot="1" x14ac:dyDescent="0.3">
      <c r="A5" s="9" t="str">
        <f t="shared" si="2"/>
        <v>01 MASTER REQUEST - SLAVE POLL</v>
      </c>
      <c r="B5" t="s">
        <v>122</v>
      </c>
      <c r="C5" s="7" t="str">
        <f t="shared" si="3"/>
        <v>10</v>
      </c>
      <c r="D5" s="8" t="s">
        <v>109</v>
      </c>
      <c r="E5" s="7" t="str">
        <f t="shared" si="4"/>
        <v>31</v>
      </c>
      <c r="G5" s="12" t="s">
        <v>314</v>
      </c>
      <c r="H5" s="13" t="s">
        <v>313</v>
      </c>
    </row>
    <row r="6" spans="1:12" x14ac:dyDescent="0.25">
      <c r="A6" s="9" t="str">
        <f t="shared" si="2"/>
        <v>95 MAGAZINE INFO - CD1 YES, CD2 YES, CD3 NO, CD4 NO, CD5 NO, CD6 NO</v>
      </c>
      <c r="B6" t="s">
        <v>128</v>
      </c>
      <c r="C6" s="7" t="str">
        <f t="shared" si="3"/>
        <v>31</v>
      </c>
      <c r="D6" s="8" t="s">
        <v>109</v>
      </c>
      <c r="E6" s="7" t="str">
        <f t="shared" si="4"/>
        <v>10</v>
      </c>
      <c r="G6" s="16" t="s">
        <v>243</v>
      </c>
      <c r="H6" s="14" t="s">
        <v>148</v>
      </c>
    </row>
    <row r="7" spans="1:12" x14ac:dyDescent="0.25">
      <c r="A7" s="9" t="str">
        <f t="shared" si="2"/>
        <v>01 MASTER REQUEST - SLAVE POLL</v>
      </c>
      <c r="B7" t="s">
        <v>122</v>
      </c>
      <c r="C7" s="7" t="str">
        <f t="shared" si="3"/>
        <v>10</v>
      </c>
      <c r="D7" s="8" t="s">
        <v>109</v>
      </c>
      <c r="E7" s="7" t="str">
        <f t="shared" si="4"/>
        <v>31</v>
      </c>
      <c r="G7" s="16" t="s">
        <v>244</v>
      </c>
      <c r="H7" s="14" t="s">
        <v>148</v>
      </c>
    </row>
    <row r="8" spans="1:12" x14ac:dyDescent="0.25">
      <c r="A8" s="9" t="str">
        <f t="shared" si="2"/>
        <v>97 DISC INFO - TRACKS: 10, MINS: 50, SECS: 13, DISC: 2</v>
      </c>
      <c r="B8" t="s">
        <v>154</v>
      </c>
      <c r="C8" s="7" t="str">
        <f t="shared" si="3"/>
        <v>31</v>
      </c>
      <c r="D8" s="8" t="s">
        <v>109</v>
      </c>
      <c r="E8" s="7" t="str">
        <f t="shared" si="4"/>
        <v>10</v>
      </c>
      <c r="G8" s="16" t="s">
        <v>245</v>
      </c>
      <c r="H8" s="14" t="s">
        <v>148</v>
      </c>
    </row>
    <row r="9" spans="1:12" x14ac:dyDescent="0.25">
      <c r="A9" s="9" t="str">
        <f t="shared" si="2"/>
        <v>B0 CHANGE TO DISC 3, TRACK 00</v>
      </c>
      <c r="B9" t="s">
        <v>156</v>
      </c>
      <c r="C9" s="7" t="str">
        <f t="shared" si="3"/>
        <v>11</v>
      </c>
      <c r="D9" s="8" t="s">
        <v>109</v>
      </c>
      <c r="E9" s="7" t="str">
        <f t="shared" si="4"/>
        <v>31</v>
      </c>
      <c r="G9" s="16" t="s">
        <v>246</v>
      </c>
      <c r="H9" s="14" t="s">
        <v>242</v>
      </c>
    </row>
    <row r="10" spans="1:12" x14ac:dyDescent="0.25">
      <c r="A10" s="9" t="str">
        <f t="shared" si="2"/>
        <v>01 MASTER REQUEST - SLAVE POLL</v>
      </c>
      <c r="B10" t="s">
        <v>122</v>
      </c>
      <c r="C10" s="7" t="str">
        <f t="shared" si="3"/>
        <v>10</v>
      </c>
      <c r="D10" s="8" t="s">
        <v>109</v>
      </c>
      <c r="E10" s="7" t="str">
        <f t="shared" si="4"/>
        <v>31</v>
      </c>
      <c r="G10" s="16" t="s">
        <v>247</v>
      </c>
      <c r="H10" s="14" t="s">
        <v>287</v>
      </c>
    </row>
    <row r="11" spans="1:12" x14ac:dyDescent="0.25">
      <c r="A11" s="9" t="str">
        <f t="shared" si="2"/>
        <v>01 MASTER REQUEST - SLAVE POLL</v>
      </c>
      <c r="B11" t="s">
        <v>122</v>
      </c>
      <c r="C11" s="7" t="str">
        <f t="shared" si="3"/>
        <v>10</v>
      </c>
      <c r="D11" s="8" t="s">
        <v>109</v>
      </c>
      <c r="E11" s="7" t="str">
        <f t="shared" si="4"/>
        <v>31</v>
      </c>
      <c r="G11" s="16" t="s">
        <v>248</v>
      </c>
      <c r="H11" s="14" t="s">
        <v>287</v>
      </c>
    </row>
    <row r="12" spans="1:12" x14ac:dyDescent="0.25">
      <c r="A12" s="9" t="str">
        <f t="shared" si="2"/>
        <v>00 STATUS - CHANGING CD</v>
      </c>
      <c r="B12" t="s">
        <v>151</v>
      </c>
      <c r="C12" s="7" t="str">
        <f t="shared" si="3"/>
        <v>31</v>
      </c>
      <c r="D12" s="8" t="s">
        <v>109</v>
      </c>
      <c r="E12" s="7" t="str">
        <f t="shared" si="4"/>
        <v>10</v>
      </c>
      <c r="G12" s="16" t="s">
        <v>249</v>
      </c>
      <c r="H12" s="14" t="s">
        <v>288</v>
      </c>
    </row>
    <row r="13" spans="1:12" x14ac:dyDescent="0.25">
      <c r="A13" s="9" t="str">
        <f t="shared" si="2"/>
        <v>84 REQUEST MORE TEXT FIELDS - SEND MAGAZINE INFO</v>
      </c>
      <c r="B13" t="s">
        <v>125</v>
      </c>
      <c r="C13" s="7" t="str">
        <f t="shared" si="3"/>
        <v>10</v>
      </c>
      <c r="D13" s="8" t="s">
        <v>109</v>
      </c>
      <c r="E13" s="7" t="str">
        <f t="shared" si="4"/>
        <v>31</v>
      </c>
      <c r="G13" s="16" t="s">
        <v>250</v>
      </c>
      <c r="H13" s="14" t="s">
        <v>289</v>
      </c>
    </row>
    <row r="14" spans="1:12" x14ac:dyDescent="0.25">
      <c r="A14" s="9" t="str">
        <f t="shared" si="2"/>
        <v>01 MASTER REQUEST - TIME POLL</v>
      </c>
      <c r="B14" t="s">
        <v>126</v>
      </c>
      <c r="C14" s="7" t="str">
        <f t="shared" si="3"/>
        <v>10</v>
      </c>
      <c r="D14" s="8" t="s">
        <v>109</v>
      </c>
      <c r="E14" s="7" t="str">
        <f t="shared" si="4"/>
        <v>31</v>
      </c>
      <c r="G14" s="16" t="s">
        <v>251</v>
      </c>
      <c r="H14" s="14" t="s">
        <v>290</v>
      </c>
    </row>
    <row r="15" spans="1:12" x14ac:dyDescent="0.25">
      <c r="A15" s="9" t="str">
        <f t="shared" si="2"/>
        <v>00 STATUS - CHANGING CD</v>
      </c>
      <c r="B15" t="s">
        <v>151</v>
      </c>
      <c r="C15" s="7" t="str">
        <f t="shared" si="3"/>
        <v>31</v>
      </c>
      <c r="D15" s="8" t="s">
        <v>109</v>
      </c>
      <c r="E15" s="7" t="str">
        <f t="shared" si="4"/>
        <v>10</v>
      </c>
      <c r="G15" s="16" t="s">
        <v>252</v>
      </c>
      <c r="H15" s="14" t="s">
        <v>291</v>
      </c>
    </row>
    <row r="16" spans="1:12" x14ac:dyDescent="0.25">
      <c r="A16" s="9" t="str">
        <f t="shared" si="2"/>
        <v>84 REQUEST MORE TEXT FIELDS - SEND DISC INFO</v>
      </c>
      <c r="B16" t="s">
        <v>127</v>
      </c>
      <c r="C16" s="7" t="str">
        <f t="shared" si="3"/>
        <v>10</v>
      </c>
      <c r="D16" s="8" t="s">
        <v>109</v>
      </c>
      <c r="E16" s="7" t="str">
        <f t="shared" si="4"/>
        <v>31</v>
      </c>
      <c r="G16" s="16" t="s">
        <v>253</v>
      </c>
      <c r="H16" s="14" t="s">
        <v>292</v>
      </c>
    </row>
    <row r="17" spans="1:8" x14ac:dyDescent="0.25">
      <c r="A17" s="9" t="str">
        <f t="shared" si="2"/>
        <v>01 MASTER REQUEST - SLAVE POLL</v>
      </c>
      <c r="B17" t="s">
        <v>122</v>
      </c>
      <c r="C17" s="7" t="str">
        <f t="shared" si="3"/>
        <v>10</v>
      </c>
      <c r="D17" s="8" t="s">
        <v>109</v>
      </c>
      <c r="E17" s="7" t="str">
        <f t="shared" si="4"/>
        <v>31</v>
      </c>
      <c r="G17" s="16" t="s">
        <v>254</v>
      </c>
      <c r="H17" s="14" t="s">
        <v>293</v>
      </c>
    </row>
    <row r="18" spans="1:8" x14ac:dyDescent="0.25">
      <c r="A18" s="9" t="str">
        <f t="shared" si="2"/>
        <v>95 MAGAZINE INFO - CD1 YES, CD2 YES, CD3 NO, CD4 NO, CD5 NO, CD6 NO</v>
      </c>
      <c r="B18" t="s">
        <v>128</v>
      </c>
      <c r="C18" s="7" t="str">
        <f t="shared" si="3"/>
        <v>31</v>
      </c>
      <c r="D18" s="8" t="s">
        <v>109</v>
      </c>
      <c r="E18" s="7" t="str">
        <f t="shared" si="4"/>
        <v>10</v>
      </c>
      <c r="G18" s="16" t="s">
        <v>255</v>
      </c>
      <c r="H18" s="14" t="s">
        <v>294</v>
      </c>
    </row>
    <row r="19" spans="1:8" x14ac:dyDescent="0.25">
      <c r="A19" s="9" t="str">
        <f t="shared" si="2"/>
        <v>01 MASTER REQUEST - SLAVE POLL</v>
      </c>
      <c r="B19" t="s">
        <v>122</v>
      </c>
      <c r="C19" s="7" t="str">
        <f t="shared" si="3"/>
        <v>10</v>
      </c>
      <c r="D19" s="8" t="s">
        <v>109</v>
      </c>
      <c r="E19" s="7" t="str">
        <f t="shared" si="4"/>
        <v>31</v>
      </c>
      <c r="G19" s="16" t="s">
        <v>256</v>
      </c>
      <c r="H19" s="14" t="s">
        <v>295</v>
      </c>
    </row>
    <row r="20" spans="1:8" x14ac:dyDescent="0.25">
      <c r="A20" s="9" t="str">
        <f t="shared" si="2"/>
        <v>97 DISC INFO - TRACKS: 99, MINS: 00, SECS: 00, DISC: 3</v>
      </c>
      <c r="B20" t="s">
        <v>157</v>
      </c>
      <c r="C20" s="7" t="str">
        <f t="shared" si="3"/>
        <v>31</v>
      </c>
      <c r="D20" s="8" t="s">
        <v>109</v>
      </c>
      <c r="E20" s="7" t="str">
        <f t="shared" si="4"/>
        <v>10</v>
      </c>
      <c r="G20" s="16" t="s">
        <v>257</v>
      </c>
      <c r="H20" s="14" t="s">
        <v>296</v>
      </c>
    </row>
    <row r="21" spans="1:8" x14ac:dyDescent="0.25">
      <c r="A21" s="9" t="str">
        <f t="shared" si="2"/>
        <v>84 REQUEST MORE TEXT FIELDS - SEND MAGAZINE INFO</v>
      </c>
      <c r="B21" t="s">
        <v>125</v>
      </c>
      <c r="C21" s="7" t="str">
        <f t="shared" si="3"/>
        <v>10</v>
      </c>
      <c r="D21" s="8" t="s">
        <v>109</v>
      </c>
      <c r="E21" s="7" t="str">
        <f t="shared" si="4"/>
        <v>31</v>
      </c>
      <c r="G21" s="16" t="s">
        <v>258</v>
      </c>
      <c r="H21" s="14" t="s">
        <v>297</v>
      </c>
    </row>
    <row r="22" spans="1:8" x14ac:dyDescent="0.25">
      <c r="A22" s="9" t="str">
        <f t="shared" si="2"/>
        <v>01 MASTER REQUEST - TIME POLL</v>
      </c>
      <c r="B22" t="s">
        <v>126</v>
      </c>
      <c r="C22" s="7" t="str">
        <f t="shared" si="3"/>
        <v>10</v>
      </c>
      <c r="D22" s="8" t="s">
        <v>109</v>
      </c>
      <c r="E22" s="7" t="str">
        <f t="shared" si="4"/>
        <v>31</v>
      </c>
      <c r="G22" s="16" t="s">
        <v>259</v>
      </c>
      <c r="H22" s="14" t="s">
        <v>298</v>
      </c>
    </row>
    <row r="23" spans="1:8" x14ac:dyDescent="0.25">
      <c r="A23" s="9" t="str">
        <f t="shared" si="2"/>
        <v>00 STATUS - CHANGING CD</v>
      </c>
      <c r="B23" t="s">
        <v>151</v>
      </c>
      <c r="C23" s="7" t="str">
        <f t="shared" si="3"/>
        <v>31</v>
      </c>
      <c r="D23" s="8" t="s">
        <v>109</v>
      </c>
      <c r="E23" s="7" t="str">
        <f t="shared" si="4"/>
        <v>10</v>
      </c>
      <c r="G23" s="16" t="s">
        <v>260</v>
      </c>
      <c r="H23" s="14" t="s">
        <v>299</v>
      </c>
    </row>
    <row r="24" spans="1:8" x14ac:dyDescent="0.25">
      <c r="A24" s="9" t="str">
        <f t="shared" si="2"/>
        <v>84 REQUEST MORE TEXT FIELDS - SEND DISC INFO</v>
      </c>
      <c r="B24" t="s">
        <v>127</v>
      </c>
      <c r="C24" s="7" t="str">
        <f t="shared" si="3"/>
        <v>10</v>
      </c>
      <c r="D24" s="8" t="s">
        <v>109</v>
      </c>
      <c r="E24" s="7" t="str">
        <f t="shared" si="4"/>
        <v>31</v>
      </c>
      <c r="G24" s="16" t="s">
        <v>261</v>
      </c>
      <c r="H24" s="14" t="s">
        <v>300</v>
      </c>
    </row>
    <row r="25" spans="1:8" x14ac:dyDescent="0.25">
      <c r="A25" s="9" t="str">
        <f t="shared" si="2"/>
        <v>01 MASTER REQUEST - SLAVE POLL</v>
      </c>
      <c r="B25" t="s">
        <v>122</v>
      </c>
      <c r="C25" s="7" t="str">
        <f t="shared" si="3"/>
        <v>10</v>
      </c>
      <c r="D25" s="8" t="s">
        <v>109</v>
      </c>
      <c r="E25" s="7" t="str">
        <f t="shared" si="4"/>
        <v>31</v>
      </c>
      <c r="G25" s="16" t="s">
        <v>262</v>
      </c>
      <c r="H25" s="14" t="s">
        <v>301</v>
      </c>
    </row>
    <row r="26" spans="1:8" x14ac:dyDescent="0.25">
      <c r="A26" s="9" t="str">
        <f t="shared" si="2"/>
        <v>95 MAGAZINE INFO - CD1 YES, CD2 YES, CD3 NO, CD4 NO, CD5 NO, CD6 NO</v>
      </c>
      <c r="B26" t="s">
        <v>128</v>
      </c>
      <c r="C26" s="7" t="str">
        <f t="shared" si="3"/>
        <v>31</v>
      </c>
      <c r="D26" s="8" t="s">
        <v>109</v>
      </c>
      <c r="E26" s="7" t="str">
        <f t="shared" si="4"/>
        <v>10</v>
      </c>
      <c r="G26" s="16" t="s">
        <v>263</v>
      </c>
      <c r="H26" s="14" t="s">
        <v>302</v>
      </c>
    </row>
    <row r="27" spans="1:8" x14ac:dyDescent="0.25">
      <c r="A27" s="9" t="str">
        <f t="shared" si="2"/>
        <v>01 MASTER REQUEST - SLAVE POLL</v>
      </c>
      <c r="B27" t="s">
        <v>122</v>
      </c>
      <c r="C27" s="7" t="str">
        <f t="shared" si="3"/>
        <v>10</v>
      </c>
      <c r="D27" s="8" t="s">
        <v>109</v>
      </c>
      <c r="E27" s="7" t="str">
        <f t="shared" si="4"/>
        <v>31</v>
      </c>
      <c r="G27" s="16" t="s">
        <v>264</v>
      </c>
      <c r="H27" s="14" t="s">
        <v>303</v>
      </c>
    </row>
    <row r="28" spans="1:8" x14ac:dyDescent="0.25">
      <c r="A28" s="9" t="str">
        <f t="shared" si="2"/>
        <v>97 DISC INFO - TRACKS: 99, MINS: 00, SECS: 00, DISC: 3</v>
      </c>
      <c r="B28" t="s">
        <v>157</v>
      </c>
      <c r="C28" s="7" t="str">
        <f t="shared" si="3"/>
        <v>31</v>
      </c>
      <c r="D28" s="8" t="s">
        <v>109</v>
      </c>
      <c r="E28" s="7" t="str">
        <f t="shared" si="4"/>
        <v>10</v>
      </c>
      <c r="G28" s="16" t="s">
        <v>265</v>
      </c>
      <c r="H28" s="14" t="s">
        <v>304</v>
      </c>
    </row>
    <row r="29" spans="1:8" x14ac:dyDescent="0.25">
      <c r="A29" s="9" t="str">
        <f t="shared" si="2"/>
        <v>01 MASTER REQUEST - SLAVE POLL</v>
      </c>
      <c r="B29" t="s">
        <v>122</v>
      </c>
      <c r="C29" s="7" t="str">
        <f t="shared" si="3"/>
        <v>10</v>
      </c>
      <c r="D29" s="8" t="s">
        <v>109</v>
      </c>
      <c r="E29" s="7" t="str">
        <f t="shared" si="4"/>
        <v>31</v>
      </c>
      <c r="G29" s="16" t="s">
        <v>266</v>
      </c>
      <c r="H29" s="14" t="s">
        <v>305</v>
      </c>
    </row>
    <row r="30" spans="1:8" x14ac:dyDescent="0.25">
      <c r="A30" s="9" t="str">
        <f t="shared" si="2"/>
        <v>01 MASTER REQUEST - SLAVE POLL</v>
      </c>
      <c r="B30" t="s">
        <v>122</v>
      </c>
      <c r="C30" s="7" t="str">
        <f t="shared" si="3"/>
        <v>10</v>
      </c>
      <c r="D30" s="8" t="s">
        <v>109</v>
      </c>
      <c r="E30" s="7" t="str">
        <f t="shared" si="4"/>
        <v>31</v>
      </c>
      <c r="G30" s="16" t="s">
        <v>267</v>
      </c>
      <c r="H30" s="14" t="s">
        <v>306</v>
      </c>
    </row>
    <row r="31" spans="1:8" x14ac:dyDescent="0.25">
      <c r="A31" s="9" t="str">
        <f t="shared" si="2"/>
        <v>00 STATUS - CHANGING CD</v>
      </c>
      <c r="B31" t="s">
        <v>151</v>
      </c>
      <c r="C31" s="7" t="str">
        <f t="shared" si="3"/>
        <v>31</v>
      </c>
      <c r="D31" s="8" t="s">
        <v>109</v>
      </c>
      <c r="E31" s="7" t="str">
        <f t="shared" si="4"/>
        <v>10</v>
      </c>
      <c r="G31" s="16" t="s">
        <v>268</v>
      </c>
      <c r="H31" s="14" t="s">
        <v>307</v>
      </c>
    </row>
    <row r="32" spans="1:8" x14ac:dyDescent="0.25">
      <c r="A32" s="9" t="str">
        <f t="shared" si="2"/>
        <v>B0 CHANGE TO DISC 3, TRACK 00</v>
      </c>
      <c r="B32" t="s">
        <v>156</v>
      </c>
      <c r="C32" s="7" t="str">
        <f t="shared" si="3"/>
        <v>11</v>
      </c>
      <c r="D32" s="8" t="s">
        <v>109</v>
      </c>
      <c r="E32" s="7" t="str">
        <f t="shared" si="4"/>
        <v>31</v>
      </c>
      <c r="G32" s="16" t="s">
        <v>269</v>
      </c>
      <c r="H32" s="14" t="s">
        <v>270</v>
      </c>
    </row>
    <row r="33" spans="1:8" x14ac:dyDescent="0.25">
      <c r="A33" s="9" t="str">
        <f t="shared" si="2"/>
        <v>01 MASTER REQUEST - SLAVE POLL</v>
      </c>
      <c r="B33" t="s">
        <v>122</v>
      </c>
      <c r="C33" s="7" t="str">
        <f t="shared" si="3"/>
        <v>10</v>
      </c>
      <c r="D33" s="8" t="s">
        <v>109</v>
      </c>
      <c r="E33" s="7" t="str">
        <f t="shared" si="4"/>
        <v>31</v>
      </c>
      <c r="G33" s="16" t="s">
        <v>271</v>
      </c>
      <c r="H33" s="14" t="s">
        <v>272</v>
      </c>
    </row>
    <row r="34" spans="1:8" x14ac:dyDescent="0.25">
      <c r="A34" s="9" t="str">
        <f t="shared" si="2"/>
        <v>01 MASTER REQUEST - SLAVE POLL</v>
      </c>
      <c r="B34" t="s">
        <v>122</v>
      </c>
      <c r="C34" s="7" t="str">
        <f t="shared" si="3"/>
        <v>10</v>
      </c>
      <c r="D34" s="8" t="s">
        <v>109</v>
      </c>
      <c r="E34" s="7" t="str">
        <f t="shared" si="4"/>
        <v>31</v>
      </c>
      <c r="G34" s="16" t="s">
        <v>273</v>
      </c>
      <c r="H34" s="14" t="s">
        <v>308</v>
      </c>
    </row>
    <row r="35" spans="1:8" x14ac:dyDescent="0.25">
      <c r="A35" s="9" t="str">
        <f t="shared" si="2"/>
        <v>00 STATUS - CHANGING CD</v>
      </c>
      <c r="B35" t="s">
        <v>151</v>
      </c>
      <c r="C35" s="7" t="str">
        <f t="shared" si="3"/>
        <v>31</v>
      </c>
      <c r="D35" s="8" t="s">
        <v>109</v>
      </c>
      <c r="E35" s="7" t="str">
        <f t="shared" si="4"/>
        <v>10</v>
      </c>
      <c r="G35" s="16" t="s">
        <v>274</v>
      </c>
      <c r="H35" s="14" t="s">
        <v>309</v>
      </c>
    </row>
    <row r="36" spans="1:8" x14ac:dyDescent="0.25">
      <c r="A36" s="9" t="str">
        <f t="shared" si="2"/>
        <v>84 REQUEST MORE TEXT FIELDS - SEND MAGAZINE INFO</v>
      </c>
      <c r="B36" t="s">
        <v>125</v>
      </c>
      <c r="C36" s="7" t="str">
        <f t="shared" si="3"/>
        <v>10</v>
      </c>
      <c r="D36" s="8" t="s">
        <v>109</v>
      </c>
      <c r="E36" s="7" t="str">
        <f t="shared" si="4"/>
        <v>31</v>
      </c>
      <c r="G36" s="16" t="s">
        <v>275</v>
      </c>
      <c r="H36" s="14" t="s">
        <v>310</v>
      </c>
    </row>
    <row r="37" spans="1:8" x14ac:dyDescent="0.25">
      <c r="A37" s="9" t="str">
        <f t="shared" si="2"/>
        <v>01 MASTER REQUEST - TIME POLL</v>
      </c>
      <c r="B37" t="s">
        <v>126</v>
      </c>
      <c r="C37" s="7" t="str">
        <f t="shared" si="3"/>
        <v>10</v>
      </c>
      <c r="D37" s="8" t="s">
        <v>109</v>
      </c>
      <c r="E37" s="7" t="str">
        <f t="shared" si="4"/>
        <v>31</v>
      </c>
      <c r="G37" s="16" t="s">
        <v>276</v>
      </c>
      <c r="H37" s="14" t="s">
        <v>311</v>
      </c>
    </row>
    <row r="38" spans="1:8" x14ac:dyDescent="0.25">
      <c r="A38" s="9" t="str">
        <f t="shared" si="2"/>
        <v>00 STATUS - CHANGING CD</v>
      </c>
      <c r="B38" t="s">
        <v>151</v>
      </c>
      <c r="C38" s="7" t="str">
        <f t="shared" si="3"/>
        <v>31</v>
      </c>
      <c r="D38" s="8" t="s">
        <v>109</v>
      </c>
      <c r="E38" s="7" t="str">
        <f t="shared" si="4"/>
        <v>10</v>
      </c>
      <c r="G38" s="16" t="s">
        <v>277</v>
      </c>
      <c r="H38" s="14" t="s">
        <v>278</v>
      </c>
    </row>
    <row r="39" spans="1:8" x14ac:dyDescent="0.25">
      <c r="A39" s="9" t="str">
        <f t="shared" si="2"/>
        <v>84 REQUEST MORE TEXT FIELDS - SEND DISC INFO</v>
      </c>
      <c r="B39" t="s">
        <v>127</v>
      </c>
      <c r="C39" s="7" t="str">
        <f t="shared" si="3"/>
        <v>10</v>
      </c>
      <c r="D39" s="8" t="s">
        <v>109</v>
      </c>
      <c r="E39" s="7" t="str">
        <f t="shared" si="4"/>
        <v>31</v>
      </c>
      <c r="G39" s="16" t="s">
        <v>279</v>
      </c>
      <c r="H39" s="14" t="s">
        <v>312</v>
      </c>
    </row>
    <row r="40" spans="1:8" x14ac:dyDescent="0.25">
      <c r="A40" s="9" t="str">
        <f t="shared" si="2"/>
        <v>01 MASTER REQUEST - SLAVE POLL</v>
      </c>
      <c r="B40" t="s">
        <v>136</v>
      </c>
      <c r="C40" s="7" t="str">
        <f t="shared" si="3"/>
        <v>10</v>
      </c>
      <c r="D40" s="8" t="s">
        <v>109</v>
      </c>
      <c r="E40" s="7" t="str">
        <f t="shared" si="4"/>
        <v>31</v>
      </c>
      <c r="G40" s="16" t="s">
        <v>280</v>
      </c>
      <c r="H40" s="14" t="s">
        <v>188</v>
      </c>
    </row>
    <row r="41" spans="1:8" x14ac:dyDescent="0.25">
      <c r="A41" s="9" t="str">
        <f t="shared" si="2"/>
        <v>95 MAGAZINE INFO - CD1 YES, CD2 YES, CD3 NO, CD4 NO, CD5 NO, CD6 NO</v>
      </c>
      <c r="B41" t="s">
        <v>128</v>
      </c>
      <c r="C41" s="7" t="str">
        <f t="shared" si="3"/>
        <v>31</v>
      </c>
      <c r="D41" s="8" t="s">
        <v>109</v>
      </c>
      <c r="E41" s="7" t="str">
        <f t="shared" si="4"/>
        <v>10</v>
      </c>
      <c r="G41" s="16" t="s">
        <v>281</v>
      </c>
      <c r="H41" s="14" t="s">
        <v>282</v>
      </c>
    </row>
    <row r="42" spans="1:8" x14ac:dyDescent="0.25">
      <c r="A42" s="9" t="str">
        <f t="shared" si="2"/>
        <v>01 MASTER REQUEST - SLAVE POLL</v>
      </c>
      <c r="B42" t="s">
        <v>122</v>
      </c>
      <c r="C42" s="7" t="str">
        <f t="shared" si="3"/>
        <v>10</v>
      </c>
      <c r="D42" s="8" t="s">
        <v>109</v>
      </c>
      <c r="E42" s="7" t="str">
        <f t="shared" si="4"/>
        <v>31</v>
      </c>
      <c r="G42" s="16" t="s">
        <v>283</v>
      </c>
      <c r="H42" s="14" t="s">
        <v>284</v>
      </c>
    </row>
    <row r="43" spans="1:8" ht="15.75" thickBot="1" x14ac:dyDescent="0.3">
      <c r="A43" s="9" t="str">
        <f t="shared" si="2"/>
        <v>97 DISC INFO - TRACKS: 99, MINS: 00, SECS: 00, DISC: 3</v>
      </c>
      <c r="B43" t="s">
        <v>157</v>
      </c>
      <c r="C43" s="7" t="str">
        <f t="shared" si="3"/>
        <v>31</v>
      </c>
      <c r="D43" s="8" t="s">
        <v>109</v>
      </c>
      <c r="E43" s="7" t="str">
        <f t="shared" si="4"/>
        <v>10</v>
      </c>
      <c r="G43" s="17" t="s">
        <v>285</v>
      </c>
      <c r="H43" s="15" t="s">
        <v>286</v>
      </c>
    </row>
    <row r="44" spans="1:8" x14ac:dyDescent="0.25">
      <c r="A44" s="9" t="str">
        <f t="shared" si="2"/>
        <v>84 REQUEST MORE TEXT FIELDS - SEND MAGAZINE INFO</v>
      </c>
      <c r="B44" t="s">
        <v>125</v>
      </c>
      <c r="C44" s="7" t="str">
        <f t="shared" si="3"/>
        <v>10</v>
      </c>
      <c r="D44" s="8" t="s">
        <v>109</v>
      </c>
      <c r="E44" s="7" t="str">
        <f t="shared" si="4"/>
        <v>31</v>
      </c>
    </row>
    <row r="45" spans="1:8" x14ac:dyDescent="0.25">
      <c r="A45" s="9" t="str">
        <f t="shared" si="2"/>
        <v>01 MASTER REQUEST - TIME POLL</v>
      </c>
      <c r="B45" t="s">
        <v>126</v>
      </c>
      <c r="C45" s="7" t="str">
        <f t="shared" si="3"/>
        <v>10</v>
      </c>
      <c r="D45" s="8" t="s">
        <v>109</v>
      </c>
      <c r="E45" s="7" t="str">
        <f t="shared" si="4"/>
        <v>31</v>
      </c>
    </row>
    <row r="46" spans="1:8" x14ac:dyDescent="0.25">
      <c r="A46" s="9" t="str">
        <f t="shared" si="2"/>
        <v>00 STATUS - CHANGING CD</v>
      </c>
      <c r="B46" t="s">
        <v>151</v>
      </c>
      <c r="C46" s="7" t="str">
        <f t="shared" si="3"/>
        <v>31</v>
      </c>
      <c r="D46" s="8" t="s">
        <v>109</v>
      </c>
      <c r="E46" s="7" t="str">
        <f t="shared" si="4"/>
        <v>10</v>
      </c>
    </row>
    <row r="47" spans="1:8" x14ac:dyDescent="0.25">
      <c r="A47" s="9" t="str">
        <f t="shared" si="2"/>
        <v>84 REQUEST MORE TEXT FIELDS - SEND DISC INFO</v>
      </c>
      <c r="B47" t="s">
        <v>127</v>
      </c>
      <c r="C47" s="7" t="str">
        <f t="shared" si="3"/>
        <v>10</v>
      </c>
      <c r="D47" s="8" t="s">
        <v>109</v>
      </c>
      <c r="E47" s="7" t="str">
        <f t="shared" si="4"/>
        <v>31</v>
      </c>
    </row>
    <row r="48" spans="1:8" x14ac:dyDescent="0.25">
      <c r="A48" s="9" t="str">
        <f t="shared" si="2"/>
        <v>01 MASTER REQUEST - SLAVE POLL</v>
      </c>
      <c r="B48" t="s">
        <v>122</v>
      </c>
      <c r="C48" s="7" t="str">
        <f t="shared" si="3"/>
        <v>10</v>
      </c>
      <c r="D48" s="8" t="s">
        <v>109</v>
      </c>
      <c r="E48" s="7" t="str">
        <f t="shared" si="4"/>
        <v>31</v>
      </c>
    </row>
    <row r="49" spans="1:8" x14ac:dyDescent="0.25">
      <c r="A49" s="9" t="str">
        <f t="shared" si="2"/>
        <v>95 MAGAZINE INFO - CD1 YES, CD2 YES, CD3 NO, CD4 NO, CD5 NO, CD6 NO</v>
      </c>
      <c r="B49" t="s">
        <v>128</v>
      </c>
      <c r="C49" s="7" t="str">
        <f t="shared" si="3"/>
        <v>31</v>
      </c>
      <c r="D49" s="8" t="s">
        <v>109</v>
      </c>
      <c r="E49" s="7" t="str">
        <f t="shared" si="4"/>
        <v>10</v>
      </c>
    </row>
    <row r="50" spans="1:8" x14ac:dyDescent="0.25">
      <c r="A50" s="9" t="str">
        <f t="shared" si="2"/>
        <v>01 MASTER REQUEST - SLAVE POLL</v>
      </c>
      <c r="B50" t="s">
        <v>122</v>
      </c>
      <c r="C50" s="7" t="str">
        <f t="shared" si="3"/>
        <v>10</v>
      </c>
      <c r="D50" s="8" t="s">
        <v>109</v>
      </c>
      <c r="E50" s="7" t="str">
        <f t="shared" si="4"/>
        <v>31</v>
      </c>
    </row>
    <row r="51" spans="1:8" x14ac:dyDescent="0.25">
      <c r="A51" s="9" t="str">
        <f t="shared" si="2"/>
        <v>97 DISC INFO - TRACKS: 99, MINS: 00, SECS: 00, DISC: 3</v>
      </c>
      <c r="B51" t="s">
        <v>157</v>
      </c>
      <c r="C51" s="7" t="str">
        <f t="shared" si="3"/>
        <v>31</v>
      </c>
      <c r="D51" s="8" t="s">
        <v>109</v>
      </c>
      <c r="E51" s="7" t="str">
        <f t="shared" si="4"/>
        <v>10</v>
      </c>
      <c r="G51" s="5"/>
      <c r="H51" s="5"/>
    </row>
    <row r="52" spans="1:8" x14ac:dyDescent="0.25">
      <c r="A52" s="9" t="str">
        <f t="shared" si="2"/>
        <v>01 MASTER REQUEST - SLAVE POLL</v>
      </c>
      <c r="B52" t="s">
        <v>122</v>
      </c>
      <c r="C52" s="7" t="str">
        <f t="shared" si="3"/>
        <v>10</v>
      </c>
      <c r="D52" s="8" t="s">
        <v>109</v>
      </c>
      <c r="E52" s="7" t="str">
        <f t="shared" si="4"/>
        <v>31</v>
      </c>
      <c r="G52" s="5"/>
      <c r="H52" s="5"/>
    </row>
    <row r="53" spans="1:8" x14ac:dyDescent="0.25">
      <c r="A53" s="9" t="str">
        <f t="shared" si="2"/>
        <v>00 STATUS - CHANGING CD</v>
      </c>
      <c r="B53" t="s">
        <v>151</v>
      </c>
      <c r="C53" s="7" t="str">
        <f t="shared" si="3"/>
        <v>31</v>
      </c>
      <c r="D53" s="8" t="s">
        <v>109</v>
      </c>
      <c r="E53" s="7" t="str">
        <f t="shared" si="4"/>
        <v>10</v>
      </c>
      <c r="G53" s="5"/>
      <c r="H53" s="5"/>
    </row>
    <row r="54" spans="1:8" x14ac:dyDescent="0.25">
      <c r="A54" s="9" t="str">
        <f t="shared" si="2"/>
        <v>B0 CHANGE TO DISC 3, TRACK 00</v>
      </c>
      <c r="B54" t="s">
        <v>156</v>
      </c>
      <c r="C54" s="7" t="str">
        <f t="shared" si="3"/>
        <v>11</v>
      </c>
      <c r="D54" s="8" t="s">
        <v>109</v>
      </c>
      <c r="E54" s="7" t="str">
        <f t="shared" si="4"/>
        <v>31</v>
      </c>
      <c r="G54" s="5"/>
      <c r="H54" s="5"/>
    </row>
    <row r="55" spans="1:8" x14ac:dyDescent="0.25">
      <c r="A55" s="9" t="str">
        <f t="shared" si="2"/>
        <v>01 MASTER REQUEST - SLAVE POLL</v>
      </c>
      <c r="B55" t="s">
        <v>122</v>
      </c>
      <c r="C55" s="7" t="str">
        <f t="shared" si="3"/>
        <v>10</v>
      </c>
      <c r="D55" s="8" t="s">
        <v>109</v>
      </c>
      <c r="E55" s="7" t="str">
        <f t="shared" si="4"/>
        <v>31</v>
      </c>
      <c r="G55" s="5"/>
      <c r="H55" s="5"/>
    </row>
    <row r="56" spans="1:8" x14ac:dyDescent="0.25">
      <c r="A56" s="9" t="str">
        <f t="shared" si="2"/>
        <v>01 MASTER REQUEST - SLAVE POLL</v>
      </c>
      <c r="B56" t="s">
        <v>122</v>
      </c>
      <c r="C56" s="7" t="str">
        <f t="shared" si="3"/>
        <v>10</v>
      </c>
      <c r="D56" s="8" t="s">
        <v>109</v>
      </c>
      <c r="E56" s="7" t="str">
        <f t="shared" si="4"/>
        <v>31</v>
      </c>
      <c r="G56" s="5"/>
      <c r="H56" s="5"/>
    </row>
    <row r="57" spans="1:8" x14ac:dyDescent="0.25">
      <c r="A57" s="9" t="str">
        <f t="shared" si="2"/>
        <v>00 STATUS - CHANGING CD</v>
      </c>
      <c r="B57" t="s">
        <v>151</v>
      </c>
      <c r="C57" s="7" t="str">
        <f t="shared" si="3"/>
        <v>31</v>
      </c>
      <c r="D57" s="8" t="s">
        <v>109</v>
      </c>
      <c r="E57" s="7" t="str">
        <f t="shared" si="4"/>
        <v>10</v>
      </c>
      <c r="G57" s="5"/>
      <c r="H57" s="5"/>
    </row>
    <row r="58" spans="1:8" x14ac:dyDescent="0.25">
      <c r="A58" s="9" t="str">
        <f t="shared" si="2"/>
        <v>84 REQUEST MORE TEXT FIELDS - SEND MAGAZINE INFO</v>
      </c>
      <c r="B58" t="s">
        <v>125</v>
      </c>
      <c r="C58" s="7" t="str">
        <f t="shared" si="3"/>
        <v>10</v>
      </c>
      <c r="D58" s="8" t="s">
        <v>109</v>
      </c>
      <c r="E58" s="7" t="str">
        <f t="shared" si="4"/>
        <v>31</v>
      </c>
      <c r="G58" s="5"/>
      <c r="H58" s="5"/>
    </row>
    <row r="59" spans="1:8" x14ac:dyDescent="0.25">
      <c r="A59" s="9" t="str">
        <f t="shared" si="2"/>
        <v>01 MASTER REQUEST - TIME POLL</v>
      </c>
      <c r="B59" t="s">
        <v>126</v>
      </c>
      <c r="C59" s="7" t="str">
        <f t="shared" si="3"/>
        <v>10</v>
      </c>
      <c r="D59" s="8" t="s">
        <v>109</v>
      </c>
      <c r="E59" s="7" t="str">
        <f t="shared" si="4"/>
        <v>31</v>
      </c>
      <c r="G59" s="5"/>
      <c r="H59" s="5"/>
    </row>
    <row r="60" spans="1:8" x14ac:dyDescent="0.25">
      <c r="A60" s="9" t="str">
        <f t="shared" si="2"/>
        <v>00 STATUS - CHANGING CD</v>
      </c>
      <c r="B60" t="s">
        <v>151</v>
      </c>
      <c r="C60" s="7" t="str">
        <f t="shared" si="3"/>
        <v>31</v>
      </c>
      <c r="D60" s="8" t="s">
        <v>109</v>
      </c>
      <c r="E60" s="7" t="str">
        <f t="shared" si="4"/>
        <v>10</v>
      </c>
      <c r="G60" s="5"/>
      <c r="H60" s="5"/>
    </row>
    <row r="61" spans="1:8" x14ac:dyDescent="0.25">
      <c r="A61" s="9" t="str">
        <f t="shared" si="2"/>
        <v>84 REQUEST MORE TEXT FIELDS - SEND DISC INFO</v>
      </c>
      <c r="B61" t="s">
        <v>127</v>
      </c>
      <c r="C61" s="7" t="str">
        <f t="shared" si="3"/>
        <v>10</v>
      </c>
      <c r="D61" s="8" t="s">
        <v>109</v>
      </c>
      <c r="E61" s="7" t="str">
        <f t="shared" si="4"/>
        <v>31</v>
      </c>
      <c r="G61" s="5"/>
    </row>
    <row r="62" spans="1:8" x14ac:dyDescent="0.25">
      <c r="A62" s="9" t="str">
        <f t="shared" si="2"/>
        <v>01 MASTER REQUEST - SLAVE POLL</v>
      </c>
      <c r="B62" t="s">
        <v>122</v>
      </c>
      <c r="C62" s="7" t="str">
        <f t="shared" si="3"/>
        <v>10</v>
      </c>
      <c r="D62" s="8" t="s">
        <v>109</v>
      </c>
      <c r="E62" s="7" t="str">
        <f t="shared" si="4"/>
        <v>31</v>
      </c>
      <c r="G62" s="5"/>
    </row>
    <row r="63" spans="1:8" x14ac:dyDescent="0.25">
      <c r="A63" s="9" t="str">
        <f t="shared" si="2"/>
        <v>95 MAGAZINE INFO - CD1 YES, CD2 YES, CD3 NO, CD4 NO, CD5 NO, CD6 NO</v>
      </c>
      <c r="B63" t="s">
        <v>128</v>
      </c>
      <c r="C63" s="7" t="str">
        <f t="shared" si="3"/>
        <v>31</v>
      </c>
      <c r="D63" s="8" t="s">
        <v>109</v>
      </c>
      <c r="E63" s="7" t="str">
        <f t="shared" si="4"/>
        <v>10</v>
      </c>
      <c r="G63" s="5"/>
    </row>
    <row r="64" spans="1:8" x14ac:dyDescent="0.25">
      <c r="A64" s="9" t="str">
        <f t="shared" si="2"/>
        <v>01 MASTER REQUEST - SLAVE POLL</v>
      </c>
      <c r="B64" t="s">
        <v>122</v>
      </c>
      <c r="C64" s="7" t="str">
        <f t="shared" si="3"/>
        <v>10</v>
      </c>
      <c r="D64" s="8" t="s">
        <v>109</v>
      </c>
      <c r="E64" s="7" t="str">
        <f t="shared" si="4"/>
        <v>31</v>
      </c>
      <c r="G64" s="5"/>
    </row>
    <row r="65" spans="1:7" x14ac:dyDescent="0.25">
      <c r="A65" s="9" t="str">
        <f t="shared" si="2"/>
        <v>97 DISC INFO - TRACKS: 99, MINS: 00, SECS: 00, DISC: 3</v>
      </c>
      <c r="B65" t="s">
        <v>157</v>
      </c>
      <c r="C65" s="7" t="str">
        <f t="shared" si="3"/>
        <v>31</v>
      </c>
      <c r="D65" s="8" t="s">
        <v>109</v>
      </c>
      <c r="E65" s="7" t="str">
        <f t="shared" si="4"/>
        <v>10</v>
      </c>
      <c r="G65" s="5"/>
    </row>
    <row r="66" spans="1:7" x14ac:dyDescent="0.25">
      <c r="A66" s="9" t="str">
        <f t="shared" si="2"/>
        <v>01 MASTER REQUEST - SLAVE POLL</v>
      </c>
      <c r="B66" t="s">
        <v>122</v>
      </c>
      <c r="C66" s="7" t="str">
        <f t="shared" si="3"/>
        <v>10</v>
      </c>
      <c r="D66" s="8" t="s">
        <v>109</v>
      </c>
      <c r="E66" s="7" t="str">
        <f t="shared" si="4"/>
        <v>31</v>
      </c>
      <c r="G66" s="5"/>
    </row>
    <row r="67" spans="1:7" x14ac:dyDescent="0.25">
      <c r="A67" s="9" t="str">
        <f t="shared" ref="A67:A130" si="5">ParseUnilink(B67)</f>
        <v>8E MAGAZIN INFO - MAGAZIN IS EMPTY</v>
      </c>
      <c r="B67" t="s">
        <v>158</v>
      </c>
      <c r="C67" s="7" t="str">
        <f t="shared" ref="C67:C130" si="6">MID(B67,4,2)</f>
        <v>31</v>
      </c>
      <c r="D67" s="8" t="s">
        <v>109</v>
      </c>
      <c r="E67" s="7" t="str">
        <f t="shared" ref="E67:E130" si="7">MID(B67,1,2)</f>
        <v>70</v>
      </c>
      <c r="G67" s="5"/>
    </row>
    <row r="68" spans="1:7" x14ac:dyDescent="0.25">
      <c r="A68" s="9" t="str">
        <f t="shared" si="5"/>
        <v>01 MASTER REQUEST - SLAVE POLL</v>
      </c>
      <c r="B68" t="s">
        <v>122</v>
      </c>
      <c r="C68" s="7" t="str">
        <f t="shared" si="6"/>
        <v>10</v>
      </c>
      <c r="D68" s="8" t="s">
        <v>109</v>
      </c>
      <c r="E68" s="7" t="str">
        <f t="shared" si="7"/>
        <v>31</v>
      </c>
      <c r="G68" s="5"/>
    </row>
    <row r="69" spans="1:7" x14ac:dyDescent="0.25">
      <c r="A69" s="9" t="str">
        <f t="shared" si="5"/>
        <v>98 INTRO PLAY FINISH</v>
      </c>
      <c r="B69" t="s">
        <v>159</v>
      </c>
      <c r="C69" s="7" t="str">
        <f t="shared" si="6"/>
        <v>31</v>
      </c>
      <c r="D69" s="8" t="s">
        <v>109</v>
      </c>
      <c r="E69" s="7" t="str">
        <f t="shared" si="7"/>
        <v>10</v>
      </c>
      <c r="G69" s="5"/>
    </row>
    <row r="70" spans="1:7" x14ac:dyDescent="0.25">
      <c r="A70" s="9" t="str">
        <f t="shared" si="5"/>
        <v>01 MASTER REQUEST - SLAVE POLL</v>
      </c>
      <c r="B70" t="s">
        <v>122</v>
      </c>
      <c r="C70" s="7" t="str">
        <f t="shared" si="6"/>
        <v>10</v>
      </c>
      <c r="D70" s="8" t="s">
        <v>109</v>
      </c>
      <c r="E70" s="7" t="str">
        <f t="shared" si="7"/>
        <v>31</v>
      </c>
      <c r="G70" s="5"/>
    </row>
    <row r="71" spans="1:7" x14ac:dyDescent="0.25">
      <c r="A71" s="9" t="str">
        <f t="shared" si="5"/>
        <v>9C AFTER DISC CHANGE TO MASTER - Disc number: 1</v>
      </c>
      <c r="B71" t="s">
        <v>123</v>
      </c>
      <c r="C71" s="7" t="str">
        <f t="shared" si="6"/>
        <v>31</v>
      </c>
      <c r="D71" s="8" t="s">
        <v>109</v>
      </c>
      <c r="E71" s="7" t="str">
        <f t="shared" si="7"/>
        <v>90</v>
      </c>
      <c r="G71" s="5"/>
    </row>
    <row r="72" spans="1:7" x14ac:dyDescent="0.25">
      <c r="A72" s="9" t="str">
        <f t="shared" si="5"/>
        <v>01 MASTER REQUEST - SLAVE POLL</v>
      </c>
      <c r="B72" t="s">
        <v>122</v>
      </c>
      <c r="C72" s="7" t="str">
        <f t="shared" si="6"/>
        <v>10</v>
      </c>
      <c r="D72" s="8" t="s">
        <v>109</v>
      </c>
      <c r="E72" s="7" t="str">
        <f t="shared" si="7"/>
        <v>31</v>
      </c>
      <c r="G72" s="5"/>
    </row>
    <row r="73" spans="1:7" x14ac:dyDescent="0.25">
      <c r="A73" s="9" t="str">
        <f t="shared" si="5"/>
        <v>01 MASTER REQUEST - SLAVE POLL</v>
      </c>
      <c r="B73" t="s">
        <v>122</v>
      </c>
      <c r="C73" s="7" t="str">
        <f t="shared" si="6"/>
        <v>10</v>
      </c>
      <c r="D73" s="8" t="s">
        <v>109</v>
      </c>
      <c r="E73" s="7" t="str">
        <f t="shared" si="7"/>
        <v>31</v>
      </c>
      <c r="G73" s="5"/>
    </row>
    <row r="74" spans="1:7" x14ac:dyDescent="0.25">
      <c r="A74" s="9" t="str">
        <f t="shared" si="5"/>
        <v>84 REQUEST MORE TEXT FIELDS - SEND MAGAZINE INFO</v>
      </c>
      <c r="B74" t="s">
        <v>125</v>
      </c>
      <c r="C74" s="7" t="str">
        <f t="shared" si="6"/>
        <v>10</v>
      </c>
      <c r="D74" s="8" t="s">
        <v>109</v>
      </c>
      <c r="E74" s="7" t="str">
        <f t="shared" si="7"/>
        <v>31</v>
      </c>
      <c r="G74" s="5"/>
    </row>
    <row r="75" spans="1:7" x14ac:dyDescent="0.25">
      <c r="A75" s="9" t="str">
        <f t="shared" si="5"/>
        <v>01 MASTER REQUEST - TIME POLL</v>
      </c>
      <c r="B75" t="s">
        <v>126</v>
      </c>
      <c r="C75" s="7" t="str">
        <f t="shared" si="6"/>
        <v>10</v>
      </c>
      <c r="D75" s="8" t="s">
        <v>109</v>
      </c>
      <c r="E75" s="7" t="str">
        <f t="shared" si="7"/>
        <v>31</v>
      </c>
      <c r="G75" s="5"/>
    </row>
    <row r="76" spans="1:7" x14ac:dyDescent="0.25">
      <c r="A76" s="9" t="str">
        <f t="shared" si="5"/>
        <v>00 STATUS - CHANGING CD</v>
      </c>
      <c r="B76" t="s">
        <v>151</v>
      </c>
      <c r="C76" s="7" t="str">
        <f t="shared" si="6"/>
        <v>31</v>
      </c>
      <c r="D76" s="8" t="s">
        <v>109</v>
      </c>
      <c r="E76" s="7" t="str">
        <f t="shared" si="7"/>
        <v>10</v>
      </c>
    </row>
    <row r="77" spans="1:7" x14ac:dyDescent="0.25">
      <c r="A77" s="9" t="str">
        <f t="shared" si="5"/>
        <v>84 REQUEST MORE TEXT FIELDS - SEND DISC INFO</v>
      </c>
      <c r="B77" t="s">
        <v>127</v>
      </c>
      <c r="C77" s="7" t="str">
        <f t="shared" si="6"/>
        <v>10</v>
      </c>
      <c r="D77" s="8" t="s">
        <v>109</v>
      </c>
      <c r="E77" s="7" t="str">
        <f t="shared" si="7"/>
        <v>31</v>
      </c>
    </row>
    <row r="78" spans="1:7" x14ac:dyDescent="0.25">
      <c r="A78" s="9" t="str">
        <f t="shared" si="5"/>
        <v>87 WAKE FROM IDLE?</v>
      </c>
      <c r="B78" t="s">
        <v>118</v>
      </c>
      <c r="C78" s="7" t="str">
        <f t="shared" si="6"/>
        <v>10</v>
      </c>
      <c r="D78" s="8" t="s">
        <v>109</v>
      </c>
      <c r="E78" s="7" t="str">
        <f t="shared" si="7"/>
        <v>18</v>
      </c>
    </row>
    <row r="79" spans="1:7" x14ac:dyDescent="0.25">
      <c r="A79" s="9" t="str">
        <f t="shared" si="5"/>
        <v>F0 SWITCH SOURCE FROM 51 TO 31</v>
      </c>
      <c r="B79" t="s">
        <v>137</v>
      </c>
      <c r="C79" s="7" t="str">
        <f t="shared" si="6"/>
        <v>10</v>
      </c>
      <c r="D79" s="8" t="s">
        <v>109</v>
      </c>
      <c r="E79" s="7" t="str">
        <f t="shared" si="7"/>
        <v>18</v>
      </c>
    </row>
    <row r="80" spans="1:7" x14ac:dyDescent="0.25">
      <c r="A80" s="9" t="str">
        <f t="shared" si="5"/>
        <v>21 SWITCH TO CD?</v>
      </c>
      <c r="B80" t="s">
        <v>120</v>
      </c>
      <c r="C80" s="7" t="str">
        <f t="shared" si="6"/>
        <v>11</v>
      </c>
      <c r="D80" s="8" t="s">
        <v>109</v>
      </c>
      <c r="E80" s="7" t="str">
        <f t="shared" si="7"/>
        <v>31</v>
      </c>
    </row>
    <row r="81" spans="1:5" x14ac:dyDescent="0.25">
      <c r="A81" s="9" t="str">
        <f t="shared" si="5"/>
        <v>20 PLAY (FROM MASTER)</v>
      </c>
      <c r="B81" t="s">
        <v>121</v>
      </c>
      <c r="C81" s="7" t="str">
        <f t="shared" si="6"/>
        <v>10</v>
      </c>
      <c r="D81" s="8" t="s">
        <v>109</v>
      </c>
      <c r="E81" s="7" t="str">
        <f t="shared" si="7"/>
        <v>31</v>
      </c>
    </row>
    <row r="82" spans="1:5" x14ac:dyDescent="0.25">
      <c r="A82" s="9" t="str">
        <f t="shared" si="5"/>
        <v>08 KEY RELEASED</v>
      </c>
      <c r="B82" t="s">
        <v>131</v>
      </c>
      <c r="C82" s="7" t="str">
        <f t="shared" si="6"/>
        <v>11</v>
      </c>
      <c r="D82" s="8" t="s">
        <v>109</v>
      </c>
      <c r="E82" s="7" t="str">
        <f t="shared" si="7"/>
        <v>18</v>
      </c>
    </row>
    <row r="83" spans="1:5" x14ac:dyDescent="0.25">
      <c r="A83" s="9" t="str">
        <f t="shared" si="5"/>
        <v>01 MASTER REQUEST - SLAVE POLL</v>
      </c>
      <c r="B83" t="s">
        <v>122</v>
      </c>
      <c r="C83" s="7" t="str">
        <f t="shared" si="6"/>
        <v>10</v>
      </c>
      <c r="D83" s="8" t="s">
        <v>109</v>
      </c>
      <c r="E83" s="7" t="str">
        <f t="shared" si="7"/>
        <v>31</v>
      </c>
    </row>
    <row r="84" spans="1:5" x14ac:dyDescent="0.25">
      <c r="A84" s="9" t="str">
        <f t="shared" si="5"/>
        <v>95 MAGAZINE INFO - CD1 YES, CD2 YES, CD3 NO, CD4 NO, CD5 NO, CD6 NO</v>
      </c>
      <c r="B84" t="s">
        <v>128</v>
      </c>
      <c r="C84" s="7" t="str">
        <f t="shared" si="6"/>
        <v>31</v>
      </c>
      <c r="D84" s="8" t="s">
        <v>109</v>
      </c>
      <c r="E84" s="7" t="str">
        <f t="shared" si="7"/>
        <v>10</v>
      </c>
    </row>
    <row r="85" spans="1:5" x14ac:dyDescent="0.25">
      <c r="A85" s="9" t="str">
        <f t="shared" si="5"/>
        <v>01 MASTER REQUEST - SLAVE POLL</v>
      </c>
      <c r="B85" t="s">
        <v>122</v>
      </c>
      <c r="C85" s="7" t="str">
        <f t="shared" si="6"/>
        <v>10</v>
      </c>
      <c r="D85" s="8" t="s">
        <v>109</v>
      </c>
      <c r="E85" s="7" t="str">
        <f t="shared" si="7"/>
        <v>31</v>
      </c>
    </row>
    <row r="86" spans="1:5" x14ac:dyDescent="0.25">
      <c r="A86" s="9" t="str">
        <f t="shared" si="5"/>
        <v>94 Configuration change - Mute OFF, Loudness OFF, Phone unmuted</v>
      </c>
      <c r="B86" t="s">
        <v>160</v>
      </c>
      <c r="C86" s="7" t="str">
        <f t="shared" si="6"/>
        <v>31</v>
      </c>
      <c r="D86" s="8" t="s">
        <v>109</v>
      </c>
      <c r="E86" s="7" t="str">
        <f t="shared" si="7"/>
        <v>77</v>
      </c>
    </row>
    <row r="87" spans="1:5" x14ac:dyDescent="0.25">
      <c r="A87" s="9" t="str">
        <f t="shared" si="5"/>
        <v>01 MASTER REQUEST - SLAVE POLL</v>
      </c>
      <c r="B87" t="s">
        <v>122</v>
      </c>
      <c r="C87" s="7" t="str">
        <f t="shared" si="6"/>
        <v>10</v>
      </c>
      <c r="D87" s="8" t="s">
        <v>109</v>
      </c>
      <c r="E87" s="7" t="str">
        <f t="shared" si="7"/>
        <v>31</v>
      </c>
    </row>
    <row r="88" spans="1:5" x14ac:dyDescent="0.25">
      <c r="A88" s="9" t="str">
        <f t="shared" si="5"/>
        <v>97 DISC INFO - TRACKS: 20, MINS: 46, SECS: 00, DISC: 1</v>
      </c>
      <c r="B88" t="s">
        <v>161</v>
      </c>
      <c r="C88" s="7" t="str">
        <f t="shared" si="6"/>
        <v>31</v>
      </c>
      <c r="D88" s="8" t="s">
        <v>109</v>
      </c>
      <c r="E88" s="7" t="str">
        <f t="shared" si="7"/>
        <v>10</v>
      </c>
    </row>
    <row r="89" spans="1:5" x14ac:dyDescent="0.25">
      <c r="A89" s="9" t="str">
        <f t="shared" si="5"/>
        <v>01 MASTER REQUEST - SLAVE POLL</v>
      </c>
      <c r="B89" t="s">
        <v>122</v>
      </c>
      <c r="C89" s="7" t="str">
        <f t="shared" si="6"/>
        <v>10</v>
      </c>
      <c r="D89" s="8" t="s">
        <v>109</v>
      </c>
      <c r="E89" s="7" t="str">
        <f t="shared" si="7"/>
        <v>31</v>
      </c>
    </row>
    <row r="90" spans="1:5" x14ac:dyDescent="0.25">
      <c r="A90" s="9" t="str">
        <f t="shared" si="5"/>
        <v>00 STATUS - CHANGING CD</v>
      </c>
      <c r="B90" t="s">
        <v>151</v>
      </c>
      <c r="C90" s="7" t="str">
        <f t="shared" si="6"/>
        <v>31</v>
      </c>
      <c r="D90" s="8" t="s">
        <v>109</v>
      </c>
      <c r="E90" s="7" t="str">
        <f t="shared" si="7"/>
        <v>10</v>
      </c>
    </row>
    <row r="91" spans="1:5" x14ac:dyDescent="0.25">
      <c r="A91" s="9" t="str">
        <f t="shared" si="5"/>
        <v>84 REQUEST MORE TEXT FIELDS - SEND MAGAZINE INFO</v>
      </c>
      <c r="B91" t="s">
        <v>125</v>
      </c>
      <c r="C91" s="7" t="str">
        <f t="shared" si="6"/>
        <v>10</v>
      </c>
      <c r="D91" s="8" t="s">
        <v>109</v>
      </c>
      <c r="E91" s="7" t="str">
        <f t="shared" si="7"/>
        <v>31</v>
      </c>
    </row>
    <row r="92" spans="1:5" x14ac:dyDescent="0.25">
      <c r="A92" s="9" t="str">
        <f t="shared" si="5"/>
        <v>01 MASTER REQUEST - TIME POLL</v>
      </c>
      <c r="B92" t="s">
        <v>126</v>
      </c>
      <c r="C92" s="7" t="str">
        <f t="shared" si="6"/>
        <v>10</v>
      </c>
      <c r="D92" s="8" t="s">
        <v>109</v>
      </c>
      <c r="E92" s="7" t="str">
        <f t="shared" si="7"/>
        <v>31</v>
      </c>
    </row>
    <row r="93" spans="1:5" x14ac:dyDescent="0.25">
      <c r="A93" s="9" t="str">
        <f t="shared" si="5"/>
        <v>00 STATUS - CHANGING CD</v>
      </c>
      <c r="B93" t="s">
        <v>151</v>
      </c>
      <c r="C93" s="7" t="str">
        <f t="shared" si="6"/>
        <v>31</v>
      </c>
      <c r="D93" s="8" t="s">
        <v>109</v>
      </c>
      <c r="E93" s="7" t="str">
        <f t="shared" si="7"/>
        <v>10</v>
      </c>
    </row>
    <row r="94" spans="1:5" x14ac:dyDescent="0.25">
      <c r="A94" s="9" t="str">
        <f t="shared" si="5"/>
        <v>84 REQUEST MORE TEXT FIELDS - SEND DISC INFO</v>
      </c>
      <c r="B94" t="s">
        <v>127</v>
      </c>
      <c r="C94" s="7" t="str">
        <f t="shared" si="6"/>
        <v>10</v>
      </c>
      <c r="D94" s="8" t="s">
        <v>109</v>
      </c>
      <c r="E94" s="7" t="str">
        <f t="shared" si="7"/>
        <v>31</v>
      </c>
    </row>
    <row r="95" spans="1:5" x14ac:dyDescent="0.25">
      <c r="A95" s="9" t="str">
        <f t="shared" si="5"/>
        <v>01 MASTER REQUEST - SLAVE POLL</v>
      </c>
      <c r="B95" t="s">
        <v>122</v>
      </c>
      <c r="C95" s="7" t="str">
        <f t="shared" si="6"/>
        <v>10</v>
      </c>
      <c r="D95" s="8" t="s">
        <v>109</v>
      </c>
      <c r="E95" s="7" t="str">
        <f t="shared" si="7"/>
        <v>31</v>
      </c>
    </row>
    <row r="96" spans="1:5" x14ac:dyDescent="0.25">
      <c r="A96" s="9" t="str">
        <f t="shared" si="5"/>
        <v>95 MAGAZINE INFO - CD1 YES, CD2 YES, CD3 NO, CD4 NO, CD5 NO, CD6 NO</v>
      </c>
      <c r="B96" t="s">
        <v>128</v>
      </c>
      <c r="C96" s="7" t="str">
        <f t="shared" si="6"/>
        <v>31</v>
      </c>
      <c r="D96" s="8" t="s">
        <v>109</v>
      </c>
      <c r="E96" s="7" t="str">
        <f t="shared" si="7"/>
        <v>10</v>
      </c>
    </row>
    <row r="97" spans="1:5" x14ac:dyDescent="0.25">
      <c r="A97" s="9" t="str">
        <f t="shared" si="5"/>
        <v>01 MASTER REQUEST - SLAVE POLL</v>
      </c>
      <c r="B97" t="s">
        <v>122</v>
      </c>
      <c r="C97" s="7" t="str">
        <f t="shared" si="6"/>
        <v>10</v>
      </c>
      <c r="D97" s="8" t="s">
        <v>109</v>
      </c>
      <c r="E97" s="7" t="str">
        <f t="shared" si="7"/>
        <v>31</v>
      </c>
    </row>
    <row r="98" spans="1:5" x14ac:dyDescent="0.25">
      <c r="A98" s="9" t="str">
        <f t="shared" si="5"/>
        <v>97 DISC INFO - TRACKS: 20, MINS: 46, SECS: 00, DISC: 1</v>
      </c>
      <c r="B98" t="s">
        <v>161</v>
      </c>
      <c r="C98" s="7" t="str">
        <f t="shared" si="6"/>
        <v>31</v>
      </c>
      <c r="D98" s="8" t="s">
        <v>109</v>
      </c>
      <c r="E98" s="7" t="str">
        <f t="shared" si="7"/>
        <v>10</v>
      </c>
    </row>
    <row r="99" spans="1:5" x14ac:dyDescent="0.25">
      <c r="A99" s="9" t="str">
        <f t="shared" si="5"/>
        <v>01 MASTER REQUEST - SLAVE POLL</v>
      </c>
      <c r="B99" t="s">
        <v>122</v>
      </c>
      <c r="C99" s="7" t="str">
        <f t="shared" si="6"/>
        <v>10</v>
      </c>
      <c r="D99" s="8" t="s">
        <v>109</v>
      </c>
      <c r="E99" s="7" t="str">
        <f t="shared" si="7"/>
        <v>31</v>
      </c>
    </row>
    <row r="100" spans="1:5" x14ac:dyDescent="0.25">
      <c r="A100" s="9" t="str">
        <f t="shared" si="5"/>
        <v>01 MASTER REQUEST - SLAVE POLL</v>
      </c>
      <c r="B100" t="s">
        <v>122</v>
      </c>
      <c r="C100" s="7" t="str">
        <f t="shared" si="6"/>
        <v>10</v>
      </c>
      <c r="D100" s="8" t="s">
        <v>109</v>
      </c>
      <c r="E100" s="7" t="str">
        <f t="shared" si="7"/>
        <v>31</v>
      </c>
    </row>
    <row r="101" spans="1:5" x14ac:dyDescent="0.25">
      <c r="A101" s="9" t="str">
        <f t="shared" si="5"/>
        <v>00 STATUS - CHANGING CD</v>
      </c>
      <c r="B101" t="s">
        <v>151</v>
      </c>
      <c r="C101" s="7" t="str">
        <f t="shared" si="6"/>
        <v>31</v>
      </c>
      <c r="D101" s="8" t="s">
        <v>109</v>
      </c>
      <c r="E101" s="7" t="str">
        <f t="shared" si="7"/>
        <v>10</v>
      </c>
    </row>
    <row r="102" spans="1:5" x14ac:dyDescent="0.25">
      <c r="A102" s="9" t="str">
        <f t="shared" si="5"/>
        <v>84 REQUEST MORE TEXT FIELDS - SEND MAGAZINE INFO</v>
      </c>
      <c r="B102" t="s">
        <v>125</v>
      </c>
      <c r="C102" s="7" t="str">
        <f t="shared" si="6"/>
        <v>10</v>
      </c>
      <c r="D102" s="8" t="s">
        <v>109</v>
      </c>
      <c r="E102" s="7" t="str">
        <f t="shared" si="7"/>
        <v>31</v>
      </c>
    </row>
    <row r="103" spans="1:5" x14ac:dyDescent="0.25">
      <c r="A103" s="9" t="str">
        <f t="shared" si="5"/>
        <v>01 MASTER REQUEST - TIME POLL</v>
      </c>
      <c r="B103" t="s">
        <v>126</v>
      </c>
      <c r="C103" s="7" t="str">
        <f t="shared" si="6"/>
        <v>10</v>
      </c>
      <c r="D103" s="8" t="s">
        <v>109</v>
      </c>
      <c r="E103" s="7" t="str">
        <f t="shared" si="7"/>
        <v>31</v>
      </c>
    </row>
    <row r="104" spans="1:5" x14ac:dyDescent="0.25">
      <c r="A104" s="9" t="str">
        <f t="shared" si="5"/>
        <v>00 STATUS - CHANGING CD</v>
      </c>
      <c r="B104" t="s">
        <v>151</v>
      </c>
      <c r="C104" s="7" t="str">
        <f t="shared" si="6"/>
        <v>31</v>
      </c>
      <c r="D104" s="8" t="s">
        <v>109</v>
      </c>
      <c r="E104" s="7" t="str">
        <f t="shared" si="7"/>
        <v>10</v>
      </c>
    </row>
    <row r="105" spans="1:5" x14ac:dyDescent="0.25">
      <c r="A105" s="9" t="str">
        <f t="shared" si="5"/>
        <v>84 REQUEST MORE TEXT FIELDS - SEND DISC INFO</v>
      </c>
      <c r="B105" t="s">
        <v>127</v>
      </c>
      <c r="C105" s="7" t="str">
        <f t="shared" si="6"/>
        <v>10</v>
      </c>
      <c r="D105" s="8" t="s">
        <v>109</v>
      </c>
      <c r="E105" s="7" t="str">
        <f t="shared" si="7"/>
        <v>31</v>
      </c>
    </row>
    <row r="106" spans="1:5" x14ac:dyDescent="0.25">
      <c r="A106" s="9" t="str">
        <f t="shared" si="5"/>
        <v>01 MASTER REQUEST - SLAVE POLL</v>
      </c>
      <c r="B106" t="s">
        <v>122</v>
      </c>
      <c r="C106" s="7" t="str">
        <f t="shared" si="6"/>
        <v>10</v>
      </c>
      <c r="D106" s="8" t="s">
        <v>109</v>
      </c>
      <c r="E106" s="7" t="str">
        <f t="shared" si="7"/>
        <v>31</v>
      </c>
    </row>
    <row r="107" spans="1:5" x14ac:dyDescent="0.25">
      <c r="A107" s="9" t="str">
        <f t="shared" si="5"/>
        <v>95 MAGAZINE INFO - CD1 YES, CD2 YES, CD3 NO, CD4 NO, CD5 NO, CD6 NO</v>
      </c>
      <c r="B107" t="s">
        <v>128</v>
      </c>
      <c r="C107" s="7" t="str">
        <f t="shared" si="6"/>
        <v>31</v>
      </c>
      <c r="D107" s="8" t="s">
        <v>109</v>
      </c>
      <c r="E107" s="7" t="str">
        <f t="shared" si="7"/>
        <v>10</v>
      </c>
    </row>
    <row r="108" spans="1:5" x14ac:dyDescent="0.25">
      <c r="A108" s="9" t="str">
        <f t="shared" si="5"/>
        <v>01 MASTER REQUEST - SLAVE POLL</v>
      </c>
      <c r="B108" t="s">
        <v>122</v>
      </c>
      <c r="C108" s="7" t="str">
        <f t="shared" si="6"/>
        <v>10</v>
      </c>
      <c r="D108" s="8" t="s">
        <v>109</v>
      </c>
      <c r="E108" s="7" t="str">
        <f t="shared" si="7"/>
        <v>31</v>
      </c>
    </row>
    <row r="109" spans="1:5" x14ac:dyDescent="0.25">
      <c r="A109" s="9" t="str">
        <f t="shared" si="5"/>
        <v>97 DISC INFO - TRACKS: 20, MINS: 46, SECS: 00, DISC: 1</v>
      </c>
      <c r="B109" t="s">
        <v>161</v>
      </c>
      <c r="C109" s="7" t="str">
        <f t="shared" si="6"/>
        <v>31</v>
      </c>
      <c r="D109" s="8" t="s">
        <v>109</v>
      </c>
      <c r="E109" s="7" t="str">
        <f t="shared" si="7"/>
        <v>10</v>
      </c>
    </row>
    <row r="110" spans="1:5" x14ac:dyDescent="0.25">
      <c r="A110" s="9" t="str">
        <f t="shared" si="5"/>
        <v>21 SWITCH TO CD?</v>
      </c>
      <c r="B110" t="s">
        <v>120</v>
      </c>
      <c r="C110" s="7" t="str">
        <f t="shared" si="6"/>
        <v>11</v>
      </c>
      <c r="D110" s="8" t="s">
        <v>109</v>
      </c>
      <c r="E110" s="7" t="str">
        <f t="shared" si="7"/>
        <v>31</v>
      </c>
    </row>
    <row r="111" spans="1:5" x14ac:dyDescent="0.25">
      <c r="A111" s="9" t="str">
        <f t="shared" si="5"/>
        <v>08 KEY RELEASED</v>
      </c>
      <c r="B111" t="s">
        <v>131</v>
      </c>
      <c r="C111" s="7" t="str">
        <f t="shared" si="6"/>
        <v>11</v>
      </c>
      <c r="D111" s="8" t="s">
        <v>109</v>
      </c>
      <c r="E111" s="7" t="str">
        <f t="shared" si="7"/>
        <v>18</v>
      </c>
    </row>
    <row r="112" spans="1:5" x14ac:dyDescent="0.25">
      <c r="A112" s="9" t="str">
        <f t="shared" si="5"/>
        <v>01 MASTER REQUEST - SLAVE POLL</v>
      </c>
      <c r="B112" t="s">
        <v>122</v>
      </c>
      <c r="C112" s="7" t="str">
        <f t="shared" si="6"/>
        <v>10</v>
      </c>
      <c r="D112" s="8" t="s">
        <v>109</v>
      </c>
      <c r="E112" s="7" t="str">
        <f t="shared" si="7"/>
        <v>31</v>
      </c>
    </row>
    <row r="113" spans="1:5" x14ac:dyDescent="0.25">
      <c r="A113" s="9" t="str">
        <f t="shared" si="5"/>
        <v>94 Configuration change - Mute OFF, Loudness OFF, Phone unmuted</v>
      </c>
      <c r="B113" t="s">
        <v>160</v>
      </c>
      <c r="C113" s="7" t="str">
        <f t="shared" si="6"/>
        <v>31</v>
      </c>
      <c r="D113" s="8" t="s">
        <v>109</v>
      </c>
      <c r="E113" s="7" t="str">
        <f t="shared" si="7"/>
        <v>77</v>
      </c>
    </row>
    <row r="114" spans="1:5" x14ac:dyDescent="0.25">
      <c r="A114" s="9" t="str">
        <f t="shared" si="5"/>
        <v>01 MASTER REQUEST - SLAVE POLL</v>
      </c>
      <c r="B114" t="s">
        <v>122</v>
      </c>
      <c r="C114" s="7" t="str">
        <f t="shared" si="6"/>
        <v>10</v>
      </c>
      <c r="D114" s="8" t="s">
        <v>109</v>
      </c>
      <c r="E114" s="7" t="str">
        <f t="shared" si="7"/>
        <v>31</v>
      </c>
    </row>
    <row r="115" spans="1:5" x14ac:dyDescent="0.25">
      <c r="A115" s="9" t="str">
        <f t="shared" si="5"/>
        <v>00 STATUS - CHANGING CD</v>
      </c>
      <c r="B115" t="s">
        <v>151</v>
      </c>
      <c r="C115" s="7" t="str">
        <f t="shared" si="6"/>
        <v>31</v>
      </c>
      <c r="D115" s="8" t="s">
        <v>109</v>
      </c>
      <c r="E115" s="7" t="str">
        <f t="shared" si="7"/>
        <v>10</v>
      </c>
    </row>
    <row r="116" spans="1:5" x14ac:dyDescent="0.25">
      <c r="A116" s="9" t="str">
        <f t="shared" si="5"/>
        <v>84 REQUEST MORE TEXT FIELDS - SEND MAGAZINE INFO</v>
      </c>
      <c r="B116" t="s">
        <v>125</v>
      </c>
      <c r="C116" s="7" t="str">
        <f t="shared" si="6"/>
        <v>10</v>
      </c>
      <c r="D116" s="8" t="s">
        <v>109</v>
      </c>
      <c r="E116" s="7" t="str">
        <f t="shared" si="7"/>
        <v>31</v>
      </c>
    </row>
    <row r="117" spans="1:5" x14ac:dyDescent="0.25">
      <c r="A117" s="9" t="str">
        <f t="shared" si="5"/>
        <v>01 MASTER REQUEST - TIME POLL</v>
      </c>
      <c r="B117" t="s">
        <v>126</v>
      </c>
      <c r="C117" s="7" t="str">
        <f t="shared" si="6"/>
        <v>10</v>
      </c>
      <c r="D117" s="8" t="s">
        <v>109</v>
      </c>
      <c r="E117" s="7" t="str">
        <f t="shared" si="7"/>
        <v>31</v>
      </c>
    </row>
    <row r="118" spans="1:5" x14ac:dyDescent="0.25">
      <c r="A118" s="9" t="str">
        <f t="shared" si="5"/>
        <v>00 STATUS - CHANGING CD</v>
      </c>
      <c r="B118" t="s">
        <v>151</v>
      </c>
      <c r="C118" s="7" t="str">
        <f t="shared" si="6"/>
        <v>31</v>
      </c>
      <c r="D118" s="8" t="s">
        <v>109</v>
      </c>
      <c r="E118" s="7" t="str">
        <f t="shared" si="7"/>
        <v>10</v>
      </c>
    </row>
    <row r="119" spans="1:5" x14ac:dyDescent="0.25">
      <c r="A119" s="9" t="str">
        <f t="shared" si="5"/>
        <v>84 REQUEST MORE TEXT FIELDS - SEND DISC INFO</v>
      </c>
      <c r="B119" t="s">
        <v>127</v>
      </c>
      <c r="C119" s="7" t="str">
        <f t="shared" si="6"/>
        <v>10</v>
      </c>
      <c r="D119" s="8" t="s">
        <v>109</v>
      </c>
      <c r="E119" s="7" t="str">
        <f t="shared" si="7"/>
        <v>31</v>
      </c>
    </row>
    <row r="120" spans="1:5" x14ac:dyDescent="0.25">
      <c r="A120" s="9" t="str">
        <f t="shared" si="5"/>
        <v>01 MASTER REQUEST - SLAVE POLL</v>
      </c>
      <c r="B120" t="s">
        <v>122</v>
      </c>
      <c r="C120" s="7" t="str">
        <f t="shared" si="6"/>
        <v>10</v>
      </c>
      <c r="D120" s="8" t="s">
        <v>109</v>
      </c>
      <c r="E120" s="7" t="str">
        <f t="shared" si="7"/>
        <v>31</v>
      </c>
    </row>
    <row r="121" spans="1:5" x14ac:dyDescent="0.25">
      <c r="A121" s="9" t="str">
        <f t="shared" si="5"/>
        <v>95 MAGAZINE INFO - CD1 YES, CD2 YES, CD3 NO, CD4 NO, CD5 NO, CD6 NO</v>
      </c>
      <c r="B121" t="s">
        <v>128</v>
      </c>
      <c r="C121" s="7" t="str">
        <f t="shared" si="6"/>
        <v>31</v>
      </c>
      <c r="D121" s="8" t="s">
        <v>109</v>
      </c>
      <c r="E121" s="7" t="str">
        <f t="shared" si="7"/>
        <v>10</v>
      </c>
    </row>
    <row r="122" spans="1:5" x14ac:dyDescent="0.25">
      <c r="A122" s="9" t="str">
        <f t="shared" si="5"/>
        <v>01 MASTER REQUEST - SLAVE POLL</v>
      </c>
      <c r="B122" t="s">
        <v>122</v>
      </c>
      <c r="C122" s="7" t="str">
        <f t="shared" si="6"/>
        <v>10</v>
      </c>
      <c r="D122" s="8" t="s">
        <v>109</v>
      </c>
      <c r="E122" s="7" t="str">
        <f t="shared" si="7"/>
        <v>31</v>
      </c>
    </row>
    <row r="123" spans="1:5" x14ac:dyDescent="0.25">
      <c r="A123" s="9" t="str">
        <f t="shared" si="5"/>
        <v>97 DISC INFO - TRACKS: 20, MINS: 46, SECS: 00, DISC: 1</v>
      </c>
      <c r="B123" t="s">
        <v>161</v>
      </c>
      <c r="C123" s="7" t="str">
        <f t="shared" si="6"/>
        <v>31</v>
      </c>
      <c r="D123" s="8" t="s">
        <v>109</v>
      </c>
      <c r="E123" s="7" t="str">
        <f t="shared" si="7"/>
        <v>10</v>
      </c>
    </row>
    <row r="124" spans="1:5" x14ac:dyDescent="0.25">
      <c r="A124" s="9" t="str">
        <f t="shared" si="5"/>
        <v>01 MASTER REQUEST - SLAVE POLL</v>
      </c>
      <c r="B124" t="s">
        <v>122</v>
      </c>
      <c r="C124" s="7" t="str">
        <f t="shared" si="6"/>
        <v>10</v>
      </c>
      <c r="D124" s="8" t="s">
        <v>109</v>
      </c>
      <c r="E124" s="7" t="str">
        <f t="shared" si="7"/>
        <v>31</v>
      </c>
    </row>
    <row r="125" spans="1:5" x14ac:dyDescent="0.25">
      <c r="A125" s="9" t="str">
        <f t="shared" si="5"/>
        <v>00 STATUS - CHANGING CD</v>
      </c>
      <c r="B125" t="s">
        <v>151</v>
      </c>
      <c r="C125" s="7" t="str">
        <f t="shared" si="6"/>
        <v>31</v>
      </c>
      <c r="D125" s="8" t="s">
        <v>109</v>
      </c>
      <c r="E125" s="7" t="str">
        <f t="shared" si="7"/>
        <v>10</v>
      </c>
    </row>
    <row r="126" spans="1:5" x14ac:dyDescent="0.25">
      <c r="A126" s="9" t="str">
        <f t="shared" si="5"/>
        <v>84 REQUEST MORE TEXT FIELDS - SEND MAGAZINE INFO</v>
      </c>
      <c r="B126" t="s">
        <v>125</v>
      </c>
      <c r="C126" s="7" t="str">
        <f t="shared" si="6"/>
        <v>10</v>
      </c>
      <c r="D126" s="8" t="s">
        <v>109</v>
      </c>
      <c r="E126" s="7" t="str">
        <f t="shared" si="7"/>
        <v>31</v>
      </c>
    </row>
    <row r="127" spans="1:5" x14ac:dyDescent="0.25">
      <c r="A127" s="9" t="str">
        <f t="shared" si="5"/>
        <v>01 MASTER REQUEST - TIME POLL</v>
      </c>
      <c r="B127" t="s">
        <v>126</v>
      </c>
      <c r="C127" s="7" t="str">
        <f t="shared" si="6"/>
        <v>10</v>
      </c>
      <c r="D127" s="8" t="s">
        <v>109</v>
      </c>
      <c r="E127" s="7" t="str">
        <f t="shared" si="7"/>
        <v>31</v>
      </c>
    </row>
    <row r="128" spans="1:5" x14ac:dyDescent="0.25">
      <c r="A128" s="9" t="str">
        <f t="shared" si="5"/>
        <v>00 STATUS - CHANGING CD</v>
      </c>
      <c r="B128" t="s">
        <v>151</v>
      </c>
      <c r="C128" s="7" t="str">
        <f t="shared" si="6"/>
        <v>31</v>
      </c>
      <c r="D128" s="8" t="s">
        <v>109</v>
      </c>
      <c r="E128" s="7" t="str">
        <f t="shared" si="7"/>
        <v>10</v>
      </c>
    </row>
    <row r="129" spans="1:5" x14ac:dyDescent="0.25">
      <c r="A129" s="9" t="str">
        <f t="shared" si="5"/>
        <v>84 REQUEST MORE TEXT FIELDS - SEND DISC INFO</v>
      </c>
      <c r="B129" t="s">
        <v>127</v>
      </c>
      <c r="C129" s="7" t="str">
        <f t="shared" si="6"/>
        <v>10</v>
      </c>
      <c r="D129" s="8" t="s">
        <v>109</v>
      </c>
      <c r="E129" s="7" t="str">
        <f t="shared" si="7"/>
        <v>31</v>
      </c>
    </row>
    <row r="130" spans="1:5" x14ac:dyDescent="0.25">
      <c r="A130" s="9" t="str">
        <f t="shared" si="5"/>
        <v>01 MASTER REQUEST - SLAVE POLL</v>
      </c>
      <c r="B130" t="s">
        <v>122</v>
      </c>
      <c r="C130" s="7" t="str">
        <f t="shared" si="6"/>
        <v>10</v>
      </c>
      <c r="D130" s="8" t="s">
        <v>109</v>
      </c>
      <c r="E130" s="7" t="str">
        <f t="shared" si="7"/>
        <v>31</v>
      </c>
    </row>
    <row r="131" spans="1:5" x14ac:dyDescent="0.25">
      <c r="A131" s="9" t="str">
        <f t="shared" ref="A131:A194" si="8">ParseUnilink(B131)</f>
        <v>95 MAGAZINE INFO - CD1 YES, CD2 YES, CD3 NO, CD4 NO, CD5 NO, CD6 NO</v>
      </c>
      <c r="B131" t="s">
        <v>128</v>
      </c>
      <c r="C131" s="7" t="str">
        <f t="shared" ref="C131:C194" si="9">MID(B131,4,2)</f>
        <v>31</v>
      </c>
      <c r="D131" s="8" t="s">
        <v>109</v>
      </c>
      <c r="E131" s="7" t="str">
        <f t="shared" ref="E131:E194" si="10">MID(B131,1,2)</f>
        <v>10</v>
      </c>
    </row>
    <row r="132" spans="1:5" x14ac:dyDescent="0.25">
      <c r="A132" s="9" t="str">
        <f t="shared" si="8"/>
        <v>01 MASTER REQUEST - SLAVE POLL</v>
      </c>
      <c r="B132" t="s">
        <v>122</v>
      </c>
      <c r="C132" s="7" t="str">
        <f t="shared" si="9"/>
        <v>10</v>
      </c>
      <c r="D132" s="8" t="s">
        <v>109</v>
      </c>
      <c r="E132" s="7" t="str">
        <f t="shared" si="10"/>
        <v>31</v>
      </c>
    </row>
    <row r="133" spans="1:5" x14ac:dyDescent="0.25">
      <c r="A133" s="9" t="str">
        <f t="shared" si="8"/>
        <v>97 DISC INFO - TRACKS: 20, MINS: 46, SECS: 00, DISC: 1</v>
      </c>
      <c r="B133" t="s">
        <v>161</v>
      </c>
      <c r="C133" s="7" t="str">
        <f t="shared" si="9"/>
        <v>31</v>
      </c>
      <c r="D133" s="8" t="s">
        <v>109</v>
      </c>
      <c r="E133" s="7" t="str">
        <f t="shared" si="10"/>
        <v>10</v>
      </c>
    </row>
    <row r="134" spans="1:5" x14ac:dyDescent="0.25">
      <c r="A134" s="9" t="str">
        <f t="shared" si="8"/>
        <v>21 SWITCH TO CD?</v>
      </c>
      <c r="B134" t="s">
        <v>120</v>
      </c>
      <c r="C134" s="7" t="str">
        <f t="shared" si="9"/>
        <v>11</v>
      </c>
      <c r="D134" s="8" t="s">
        <v>109</v>
      </c>
      <c r="E134" s="7" t="str">
        <f t="shared" si="10"/>
        <v>31</v>
      </c>
    </row>
    <row r="135" spans="1:5" x14ac:dyDescent="0.25">
      <c r="A135" s="9" t="str">
        <f t="shared" si="8"/>
        <v>08 KEY RELEASED</v>
      </c>
      <c r="B135" t="s">
        <v>131</v>
      </c>
      <c r="C135" s="7" t="str">
        <f t="shared" si="9"/>
        <v>11</v>
      </c>
      <c r="D135" s="8" t="s">
        <v>109</v>
      </c>
      <c r="E135" s="7" t="str">
        <f t="shared" si="10"/>
        <v>18</v>
      </c>
    </row>
    <row r="136" spans="1:5" x14ac:dyDescent="0.25">
      <c r="A136" s="9" t="str">
        <f t="shared" si="8"/>
        <v>01 MASTER REQUEST - SLAVE POLL</v>
      </c>
      <c r="B136" t="s">
        <v>122</v>
      </c>
      <c r="C136" s="7" t="str">
        <f t="shared" si="9"/>
        <v>10</v>
      </c>
      <c r="D136" s="8" t="s">
        <v>109</v>
      </c>
      <c r="E136" s="7" t="str">
        <f t="shared" si="10"/>
        <v>31</v>
      </c>
    </row>
    <row r="137" spans="1:5" x14ac:dyDescent="0.25">
      <c r="A137" s="9" t="str">
        <f t="shared" si="8"/>
        <v>94 Configuration change - Mute OFF, Loudness OFF, Phone unmuted</v>
      </c>
      <c r="B137" t="s">
        <v>160</v>
      </c>
      <c r="C137" s="7" t="str">
        <f t="shared" si="9"/>
        <v>31</v>
      </c>
      <c r="D137" s="8" t="s">
        <v>109</v>
      </c>
      <c r="E137" s="7" t="str">
        <f t="shared" si="10"/>
        <v>77</v>
      </c>
    </row>
    <row r="138" spans="1:5" x14ac:dyDescent="0.25">
      <c r="A138" s="9" t="str">
        <f t="shared" si="8"/>
        <v>01 MASTER REQUEST - SLAVE POLL</v>
      </c>
      <c r="B138" t="s">
        <v>122</v>
      </c>
      <c r="C138" s="7" t="str">
        <f t="shared" si="9"/>
        <v>10</v>
      </c>
      <c r="D138" s="8" t="s">
        <v>109</v>
      </c>
      <c r="E138" s="7" t="str">
        <f t="shared" si="10"/>
        <v>31</v>
      </c>
    </row>
    <row r="139" spans="1:5" x14ac:dyDescent="0.25">
      <c r="A139" s="9" t="str">
        <f t="shared" si="8"/>
        <v>00 STATUS - CHANGING CD</v>
      </c>
      <c r="B139" t="s">
        <v>151</v>
      </c>
      <c r="C139" s="7" t="str">
        <f t="shared" si="9"/>
        <v>31</v>
      </c>
      <c r="D139" s="8" t="s">
        <v>109</v>
      </c>
      <c r="E139" s="7" t="str">
        <f t="shared" si="10"/>
        <v>10</v>
      </c>
    </row>
    <row r="140" spans="1:5" x14ac:dyDescent="0.25">
      <c r="A140" s="9" t="str">
        <f t="shared" si="8"/>
        <v>01 MASTER REQUEST - SLAVE POLL</v>
      </c>
      <c r="B140" t="s">
        <v>122</v>
      </c>
      <c r="C140" s="7" t="str">
        <f t="shared" si="9"/>
        <v>10</v>
      </c>
      <c r="D140" s="8" t="s">
        <v>109</v>
      </c>
      <c r="E140" s="7" t="str">
        <f t="shared" si="10"/>
        <v>31</v>
      </c>
    </row>
    <row r="141" spans="1:5" x14ac:dyDescent="0.25">
      <c r="A141" s="9" t="str">
        <f t="shared" si="8"/>
        <v>01 MASTER REQUEST - SLAVE POLL</v>
      </c>
      <c r="B141" t="s">
        <v>122</v>
      </c>
      <c r="C141" s="7" t="str">
        <f t="shared" si="9"/>
        <v>10</v>
      </c>
      <c r="D141" s="8" t="s">
        <v>109</v>
      </c>
      <c r="E141" s="7" t="str">
        <f t="shared" si="10"/>
        <v>31</v>
      </c>
    </row>
    <row r="142" spans="1:5" x14ac:dyDescent="0.25">
      <c r="A142" s="9" t="str">
        <f t="shared" si="8"/>
        <v>00 STATUS - CHANGED CD</v>
      </c>
      <c r="B142" t="s">
        <v>124</v>
      </c>
      <c r="C142" s="7" t="str">
        <f t="shared" si="9"/>
        <v>31</v>
      </c>
      <c r="D142" s="8" t="s">
        <v>109</v>
      </c>
      <c r="E142" s="7" t="str">
        <f t="shared" si="10"/>
        <v>10</v>
      </c>
    </row>
    <row r="143" spans="1:5" x14ac:dyDescent="0.25">
      <c r="A143" s="9" t="str">
        <f t="shared" si="8"/>
        <v>84 REQUEST MORE TEXT FIELDS - SEND MAGAZINE INFO</v>
      </c>
      <c r="B143" t="s">
        <v>125</v>
      </c>
      <c r="C143" s="7" t="str">
        <f t="shared" si="9"/>
        <v>10</v>
      </c>
      <c r="D143" s="8" t="s">
        <v>109</v>
      </c>
      <c r="E143" s="7" t="str">
        <f t="shared" si="10"/>
        <v>31</v>
      </c>
    </row>
    <row r="144" spans="1:5" x14ac:dyDescent="0.25">
      <c r="A144" s="9" t="str">
        <f t="shared" si="8"/>
        <v>01 MASTER REQUEST - TIME POLL</v>
      </c>
      <c r="B144" t="s">
        <v>126</v>
      </c>
      <c r="C144" s="7" t="str">
        <f t="shared" si="9"/>
        <v>10</v>
      </c>
      <c r="D144" s="8" t="s">
        <v>109</v>
      </c>
      <c r="E144" s="7" t="str">
        <f t="shared" si="10"/>
        <v>31</v>
      </c>
    </row>
    <row r="145" spans="1:5" x14ac:dyDescent="0.25">
      <c r="A145" s="9" t="str">
        <f t="shared" si="8"/>
        <v>00 STATUS - CHANGED CD</v>
      </c>
      <c r="B145" t="s">
        <v>124</v>
      </c>
      <c r="C145" s="7" t="str">
        <f t="shared" si="9"/>
        <v>31</v>
      </c>
      <c r="D145" s="8" t="s">
        <v>109</v>
      </c>
      <c r="E145" s="7" t="str">
        <f t="shared" si="10"/>
        <v>10</v>
      </c>
    </row>
    <row r="146" spans="1:5" x14ac:dyDescent="0.25">
      <c r="A146" s="9" t="str">
        <f t="shared" si="8"/>
        <v>84 REQUEST MORE TEXT FIELDS - SEND DISC INFO</v>
      </c>
      <c r="B146" t="s">
        <v>127</v>
      </c>
      <c r="C146" s="7" t="str">
        <f t="shared" si="9"/>
        <v>10</v>
      </c>
      <c r="D146" s="8" t="s">
        <v>109</v>
      </c>
      <c r="E146" s="7" t="str">
        <f t="shared" si="10"/>
        <v>31</v>
      </c>
    </row>
    <row r="147" spans="1:5" x14ac:dyDescent="0.25">
      <c r="A147" s="9" t="str">
        <f t="shared" si="8"/>
        <v>01 MASTER REQUEST - SLAVE POLL</v>
      </c>
      <c r="B147" t="s">
        <v>122</v>
      </c>
      <c r="C147" s="7" t="str">
        <f t="shared" si="9"/>
        <v>10</v>
      </c>
      <c r="D147" s="8" t="s">
        <v>109</v>
      </c>
      <c r="E147" s="7" t="str">
        <f t="shared" si="10"/>
        <v>31</v>
      </c>
    </row>
    <row r="148" spans="1:5" x14ac:dyDescent="0.25">
      <c r="A148" s="9" t="str">
        <f t="shared" si="8"/>
        <v>95 MAGAZINE INFO - CD1 YES, CD2 YES, CD3 NO, CD4 NO, CD5 NO, CD6 NO</v>
      </c>
      <c r="B148" t="s">
        <v>128</v>
      </c>
      <c r="C148" s="7" t="str">
        <f t="shared" si="9"/>
        <v>31</v>
      </c>
      <c r="D148" s="8" t="s">
        <v>109</v>
      </c>
      <c r="E148" s="7" t="str">
        <f t="shared" si="10"/>
        <v>10</v>
      </c>
    </row>
    <row r="149" spans="1:5" x14ac:dyDescent="0.25">
      <c r="A149" s="9" t="str">
        <f t="shared" si="8"/>
        <v>01 MASTER REQUEST - SLAVE POLL</v>
      </c>
      <c r="B149" t="s">
        <v>122</v>
      </c>
      <c r="C149" s="7" t="str">
        <f t="shared" si="9"/>
        <v>10</v>
      </c>
      <c r="D149" s="8" t="s">
        <v>109</v>
      </c>
      <c r="E149" s="7" t="str">
        <f t="shared" si="10"/>
        <v>31</v>
      </c>
    </row>
    <row r="150" spans="1:5" x14ac:dyDescent="0.25">
      <c r="A150" s="9" t="str">
        <f t="shared" si="8"/>
        <v>97 DISC INFO - TRACKS: 20, MINS: 46, SECS: 00, DISC: 1</v>
      </c>
      <c r="B150" t="s">
        <v>161</v>
      </c>
      <c r="C150" s="7" t="str">
        <f t="shared" si="9"/>
        <v>31</v>
      </c>
      <c r="D150" s="8" t="s">
        <v>109</v>
      </c>
      <c r="E150" s="7" t="str">
        <f t="shared" si="10"/>
        <v>10</v>
      </c>
    </row>
    <row r="151" spans="1:5" x14ac:dyDescent="0.25">
      <c r="A151" s="9" t="str">
        <f t="shared" si="8"/>
        <v>84 REQUEST MORE TEXT FIELDS - SEND MAGAZINE INFO</v>
      </c>
      <c r="B151" t="s">
        <v>125</v>
      </c>
      <c r="C151" s="7" t="str">
        <f t="shared" si="9"/>
        <v>10</v>
      </c>
      <c r="D151" s="8" t="s">
        <v>109</v>
      </c>
      <c r="E151" s="7" t="str">
        <f t="shared" si="10"/>
        <v>31</v>
      </c>
    </row>
    <row r="152" spans="1:5" x14ac:dyDescent="0.25">
      <c r="A152" s="9" t="str">
        <f t="shared" si="8"/>
        <v>01 MASTER REQUEST - TIME POLL</v>
      </c>
      <c r="B152" t="s">
        <v>126</v>
      </c>
      <c r="C152" s="7" t="str">
        <f t="shared" si="9"/>
        <v>10</v>
      </c>
      <c r="D152" s="8" t="s">
        <v>109</v>
      </c>
      <c r="E152" s="7" t="str">
        <f t="shared" si="10"/>
        <v>31</v>
      </c>
    </row>
    <row r="153" spans="1:5" x14ac:dyDescent="0.25">
      <c r="A153" s="9" t="str">
        <f t="shared" si="8"/>
        <v>00 STATUS - CHANGED CD</v>
      </c>
      <c r="B153" t="s">
        <v>124</v>
      </c>
      <c r="C153" s="7" t="str">
        <f t="shared" si="9"/>
        <v>31</v>
      </c>
      <c r="D153" s="8" t="s">
        <v>109</v>
      </c>
      <c r="E153" s="7" t="str">
        <f t="shared" si="10"/>
        <v>10</v>
      </c>
    </row>
    <row r="154" spans="1:5" x14ac:dyDescent="0.25">
      <c r="A154" s="9" t="str">
        <f t="shared" si="8"/>
        <v>84 REQUEST MORE TEXT FIELDS - SEND DISC INFO</v>
      </c>
      <c r="B154" t="s">
        <v>127</v>
      </c>
      <c r="C154" s="7" t="str">
        <f t="shared" si="9"/>
        <v>10</v>
      </c>
      <c r="D154" s="8" t="s">
        <v>109</v>
      </c>
      <c r="E154" s="7" t="str">
        <f t="shared" si="10"/>
        <v>31</v>
      </c>
    </row>
    <row r="155" spans="1:5" x14ac:dyDescent="0.25">
      <c r="A155" s="9" t="str">
        <f t="shared" si="8"/>
        <v>01 MASTER REQUEST - SLAVE POLL</v>
      </c>
      <c r="B155" t="s">
        <v>122</v>
      </c>
      <c r="C155" s="7" t="str">
        <f t="shared" si="9"/>
        <v>10</v>
      </c>
      <c r="D155" s="8" t="s">
        <v>109</v>
      </c>
      <c r="E155" s="7" t="str">
        <f t="shared" si="10"/>
        <v>31</v>
      </c>
    </row>
    <row r="156" spans="1:5" x14ac:dyDescent="0.25">
      <c r="A156" s="9" t="str">
        <f t="shared" si="8"/>
        <v>95 MAGAZINE INFO - CD1 YES, CD2 YES, CD3 NO, CD4 NO, CD5 NO, CD6 NO</v>
      </c>
      <c r="B156" t="s">
        <v>128</v>
      </c>
      <c r="C156" s="7" t="str">
        <f t="shared" si="9"/>
        <v>31</v>
      </c>
      <c r="D156" s="8" t="s">
        <v>109</v>
      </c>
      <c r="E156" s="7" t="str">
        <f t="shared" si="10"/>
        <v>10</v>
      </c>
    </row>
    <row r="157" spans="1:5" x14ac:dyDescent="0.25">
      <c r="A157" s="9" t="str">
        <f t="shared" si="8"/>
        <v>01 MASTER REQUEST - SLAVE POLL</v>
      </c>
      <c r="B157" t="s">
        <v>122</v>
      </c>
      <c r="C157" s="7" t="str">
        <f t="shared" si="9"/>
        <v>10</v>
      </c>
      <c r="D157" s="8" t="s">
        <v>109</v>
      </c>
      <c r="E157" s="7" t="str">
        <f t="shared" si="10"/>
        <v>31</v>
      </c>
    </row>
    <row r="158" spans="1:5" x14ac:dyDescent="0.25">
      <c r="A158" s="9" t="str">
        <f t="shared" si="8"/>
        <v>97 DISC INFO - TRACKS: 20, MINS: 46, SECS: 00, DISC: 1</v>
      </c>
      <c r="B158" t="s">
        <v>161</v>
      </c>
      <c r="C158" s="7" t="str">
        <f t="shared" si="9"/>
        <v>31</v>
      </c>
      <c r="D158" s="8" t="s">
        <v>109</v>
      </c>
      <c r="E158" s="7" t="str">
        <f t="shared" si="10"/>
        <v>10</v>
      </c>
    </row>
    <row r="159" spans="1:5" x14ac:dyDescent="0.25">
      <c r="A159" s="9" t="str">
        <f t="shared" si="8"/>
        <v>21 SWITCH TO CD?</v>
      </c>
      <c r="B159" t="s">
        <v>120</v>
      </c>
      <c r="C159" s="7" t="str">
        <f t="shared" si="9"/>
        <v>11</v>
      </c>
      <c r="D159" s="8" t="s">
        <v>109</v>
      </c>
      <c r="E159" s="7" t="str">
        <f t="shared" si="10"/>
        <v>31</v>
      </c>
    </row>
    <row r="160" spans="1:5" x14ac:dyDescent="0.25">
      <c r="A160" s="9" t="str">
        <f t="shared" si="8"/>
        <v>08 KEY RELEASED</v>
      </c>
      <c r="B160" t="s">
        <v>131</v>
      </c>
      <c r="C160" s="7" t="str">
        <f t="shared" si="9"/>
        <v>11</v>
      </c>
      <c r="D160" s="8" t="s">
        <v>109</v>
      </c>
      <c r="E160" s="7" t="str">
        <f t="shared" si="10"/>
        <v>18</v>
      </c>
    </row>
    <row r="161" spans="1:5" x14ac:dyDescent="0.25">
      <c r="A161" s="9" t="str">
        <f t="shared" si="8"/>
        <v>01 MASTER REQUEST - SLAVE POLL</v>
      </c>
      <c r="B161" t="s">
        <v>122</v>
      </c>
      <c r="C161" s="7" t="str">
        <f t="shared" si="9"/>
        <v>10</v>
      </c>
      <c r="D161" s="8" t="s">
        <v>109</v>
      </c>
      <c r="E161" s="7" t="str">
        <f t="shared" si="10"/>
        <v>31</v>
      </c>
    </row>
    <row r="162" spans="1:5" x14ac:dyDescent="0.25">
      <c r="A162" s="9" t="str">
        <f t="shared" si="8"/>
        <v>94 Configuration change - Mute OFF, Loudness OFF, Phone unmuted</v>
      </c>
      <c r="B162" t="s">
        <v>138</v>
      </c>
      <c r="C162" s="7" t="str">
        <f t="shared" si="9"/>
        <v>31</v>
      </c>
      <c r="D162" s="8" t="s">
        <v>109</v>
      </c>
      <c r="E162" s="7" t="str">
        <f t="shared" si="10"/>
        <v>77</v>
      </c>
    </row>
    <row r="163" spans="1:5" x14ac:dyDescent="0.25">
      <c r="A163" s="9" t="str">
        <f t="shared" si="8"/>
        <v>84 REQUEST MORE TEXT FIELDS - SEND MAGAZINE INFO</v>
      </c>
      <c r="B163" t="s">
        <v>125</v>
      </c>
      <c r="C163" s="7" t="str">
        <f t="shared" si="9"/>
        <v>10</v>
      </c>
      <c r="D163" s="8" t="s">
        <v>109</v>
      </c>
      <c r="E163" s="7" t="str">
        <f t="shared" si="10"/>
        <v>31</v>
      </c>
    </row>
    <row r="164" spans="1:5" x14ac:dyDescent="0.25">
      <c r="A164" s="9" t="str">
        <f t="shared" si="8"/>
        <v>01 MASTER REQUEST - TIME POLL</v>
      </c>
      <c r="B164" t="s">
        <v>126</v>
      </c>
      <c r="C164" s="7" t="str">
        <f t="shared" si="9"/>
        <v>10</v>
      </c>
      <c r="D164" s="8" t="s">
        <v>109</v>
      </c>
      <c r="E164" s="7" t="str">
        <f t="shared" si="10"/>
        <v>31</v>
      </c>
    </row>
    <row r="165" spans="1:5" x14ac:dyDescent="0.25">
      <c r="A165" s="9" t="str">
        <f t="shared" si="8"/>
        <v>00 STATUS - CHANGED CD</v>
      </c>
      <c r="B165" t="s">
        <v>124</v>
      </c>
      <c r="C165" s="7" t="str">
        <f t="shared" si="9"/>
        <v>31</v>
      </c>
      <c r="D165" s="8" t="s">
        <v>109</v>
      </c>
      <c r="E165" s="7" t="str">
        <f t="shared" si="10"/>
        <v>10</v>
      </c>
    </row>
    <row r="166" spans="1:5" x14ac:dyDescent="0.25">
      <c r="A166" s="9" t="str">
        <f t="shared" si="8"/>
        <v>84 REQUEST MORE TEXT FIELDS - SEND DISC INFO</v>
      </c>
      <c r="B166" t="s">
        <v>127</v>
      </c>
      <c r="C166" s="7" t="str">
        <f t="shared" si="9"/>
        <v>10</v>
      </c>
      <c r="D166" s="8" t="s">
        <v>109</v>
      </c>
      <c r="E166" s="7" t="str">
        <f t="shared" si="10"/>
        <v>31</v>
      </c>
    </row>
    <row r="167" spans="1:5" x14ac:dyDescent="0.25">
      <c r="A167" s="9" t="str">
        <f t="shared" si="8"/>
        <v>01 MASTER REQUEST - SLAVE POLL</v>
      </c>
      <c r="B167" t="s">
        <v>122</v>
      </c>
      <c r="C167" s="7" t="str">
        <f t="shared" si="9"/>
        <v>10</v>
      </c>
      <c r="D167" s="8" t="s">
        <v>109</v>
      </c>
      <c r="E167" s="7" t="str">
        <f t="shared" si="10"/>
        <v>31</v>
      </c>
    </row>
    <row r="168" spans="1:5" x14ac:dyDescent="0.25">
      <c r="A168" s="9" t="str">
        <f t="shared" si="8"/>
        <v>95 MAGAZINE INFO - CD1 YES, CD2 YES, CD3 NO, CD4 NO, CD5 NO, CD6 NO</v>
      </c>
      <c r="B168" t="s">
        <v>128</v>
      </c>
      <c r="C168" s="7" t="str">
        <f t="shared" si="9"/>
        <v>31</v>
      </c>
      <c r="D168" s="8" t="s">
        <v>109</v>
      </c>
      <c r="E168" s="7" t="str">
        <f t="shared" si="10"/>
        <v>10</v>
      </c>
    </row>
    <row r="169" spans="1:5" x14ac:dyDescent="0.25">
      <c r="A169" s="9" t="str">
        <f t="shared" si="8"/>
        <v>01 MASTER REQUEST - SLAVE POLL</v>
      </c>
      <c r="B169" t="s">
        <v>122</v>
      </c>
      <c r="C169" s="7" t="str">
        <f t="shared" si="9"/>
        <v>10</v>
      </c>
      <c r="D169" s="8" t="s">
        <v>109</v>
      </c>
      <c r="E169" s="7" t="str">
        <f t="shared" si="10"/>
        <v>31</v>
      </c>
    </row>
    <row r="170" spans="1:5" x14ac:dyDescent="0.25">
      <c r="A170" s="9" t="str">
        <f t="shared" si="8"/>
        <v>97 DISC INFO - TRACKS: 20, MINS: 46, SECS: 00, DISC: 1</v>
      </c>
      <c r="B170" t="s">
        <v>161</v>
      </c>
      <c r="C170" s="7" t="str">
        <f t="shared" si="9"/>
        <v>31</v>
      </c>
      <c r="D170" s="8" t="s">
        <v>109</v>
      </c>
      <c r="E170" s="7" t="str">
        <f t="shared" si="10"/>
        <v>10</v>
      </c>
    </row>
    <row r="171" spans="1:5" x14ac:dyDescent="0.25">
      <c r="A171" s="9" t="str">
        <f t="shared" si="8"/>
        <v>01 MASTER REQUEST - SLAVE POLL</v>
      </c>
      <c r="B171" t="s">
        <v>122</v>
      </c>
      <c r="C171" s="7" t="str">
        <f t="shared" si="9"/>
        <v>10</v>
      </c>
      <c r="D171" s="8" t="s">
        <v>109</v>
      </c>
      <c r="E171" s="7" t="str">
        <f t="shared" si="10"/>
        <v>31</v>
      </c>
    </row>
    <row r="172" spans="1:5" x14ac:dyDescent="0.25">
      <c r="A172" s="9" t="str">
        <f t="shared" si="8"/>
        <v>94 Configuration change - Mute OFF, Loudness OFF, Phone unmuted</v>
      </c>
      <c r="B172" t="s">
        <v>139</v>
      </c>
      <c r="C172" s="7" t="str">
        <f t="shared" si="9"/>
        <v>31</v>
      </c>
      <c r="D172" s="8" t="s">
        <v>109</v>
      </c>
      <c r="E172" s="7" t="str">
        <f t="shared" si="10"/>
        <v>70</v>
      </c>
    </row>
    <row r="173" spans="1:5" x14ac:dyDescent="0.25">
      <c r="A173" s="9" t="str">
        <f t="shared" si="8"/>
        <v>01 MASTER REQUEST - SLAVE POLL</v>
      </c>
      <c r="B173" t="s">
        <v>122</v>
      </c>
      <c r="C173" s="7" t="str">
        <f t="shared" si="9"/>
        <v>10</v>
      </c>
      <c r="D173" s="8" t="s">
        <v>109</v>
      </c>
      <c r="E173" s="7" t="str">
        <f t="shared" si="10"/>
        <v>31</v>
      </c>
    </row>
    <row r="174" spans="1:5" x14ac:dyDescent="0.25">
      <c r="A174" s="9" t="str">
        <f t="shared" si="8"/>
        <v>00 STATUS - CHANGED CD</v>
      </c>
      <c r="B174" t="s">
        <v>124</v>
      </c>
      <c r="C174" s="7" t="str">
        <f t="shared" si="9"/>
        <v>31</v>
      </c>
      <c r="D174" s="8" t="s">
        <v>109</v>
      </c>
      <c r="E174" s="7" t="str">
        <f t="shared" si="10"/>
        <v>10</v>
      </c>
    </row>
    <row r="175" spans="1:5" x14ac:dyDescent="0.25">
      <c r="A175" s="9" t="str">
        <f t="shared" si="8"/>
        <v>84 REQUEST MORE TEXT FIELDS - SEND MAGAZINE INFO</v>
      </c>
      <c r="B175" t="s">
        <v>125</v>
      </c>
      <c r="C175" s="7" t="str">
        <f t="shared" si="9"/>
        <v>10</v>
      </c>
      <c r="D175" s="8" t="s">
        <v>109</v>
      </c>
      <c r="E175" s="7" t="str">
        <f t="shared" si="10"/>
        <v>31</v>
      </c>
    </row>
    <row r="176" spans="1:5" x14ac:dyDescent="0.25">
      <c r="A176" s="9" t="str">
        <f t="shared" si="8"/>
        <v>01 MASTER REQUEST - TIME POLL</v>
      </c>
      <c r="B176" t="s">
        <v>126</v>
      </c>
      <c r="C176" s="7" t="str">
        <f t="shared" si="9"/>
        <v>10</v>
      </c>
      <c r="D176" s="8" t="s">
        <v>109</v>
      </c>
      <c r="E176" s="7" t="str">
        <f t="shared" si="10"/>
        <v>31</v>
      </c>
    </row>
    <row r="177" spans="1:5" x14ac:dyDescent="0.25">
      <c r="A177" s="9" t="str">
        <f t="shared" si="8"/>
        <v>00 STATUS - CHANGED CD</v>
      </c>
      <c r="B177" t="s">
        <v>124</v>
      </c>
      <c r="C177" s="7" t="str">
        <f t="shared" si="9"/>
        <v>31</v>
      </c>
      <c r="D177" s="8" t="s">
        <v>109</v>
      </c>
      <c r="E177" s="7" t="str">
        <f t="shared" si="10"/>
        <v>10</v>
      </c>
    </row>
    <row r="178" spans="1:5" x14ac:dyDescent="0.25">
      <c r="A178" s="9" t="str">
        <f t="shared" si="8"/>
        <v>84 REQUEST MORE TEXT FIELDS - SEND DISC INFO</v>
      </c>
      <c r="B178" t="s">
        <v>127</v>
      </c>
      <c r="C178" s="7" t="str">
        <f t="shared" si="9"/>
        <v>10</v>
      </c>
      <c r="D178" s="8" t="s">
        <v>109</v>
      </c>
      <c r="E178" s="7" t="str">
        <f t="shared" si="10"/>
        <v>31</v>
      </c>
    </row>
    <row r="179" spans="1:5" x14ac:dyDescent="0.25">
      <c r="A179" s="9" t="str">
        <f t="shared" si="8"/>
        <v>01 MASTER REQUEST - SLAVE POLL</v>
      </c>
      <c r="B179" t="s">
        <v>122</v>
      </c>
      <c r="C179" s="7" t="str">
        <f t="shared" si="9"/>
        <v>10</v>
      </c>
      <c r="D179" s="8" t="s">
        <v>109</v>
      </c>
      <c r="E179" s="7" t="str">
        <f t="shared" si="10"/>
        <v>31</v>
      </c>
    </row>
    <row r="180" spans="1:5" x14ac:dyDescent="0.25">
      <c r="A180" s="9" t="str">
        <f t="shared" si="8"/>
        <v>95 MAGAZINE INFO - CD1 YES, CD2 YES, CD3 NO, CD4 NO, CD5 NO, CD6 NO</v>
      </c>
      <c r="B180" t="s">
        <v>128</v>
      </c>
      <c r="C180" s="7" t="str">
        <f t="shared" si="9"/>
        <v>31</v>
      </c>
      <c r="D180" s="8" t="s">
        <v>109</v>
      </c>
      <c r="E180" s="7" t="str">
        <f t="shared" si="10"/>
        <v>10</v>
      </c>
    </row>
    <row r="181" spans="1:5" x14ac:dyDescent="0.25">
      <c r="A181" s="9" t="str">
        <f t="shared" si="8"/>
        <v>01 MASTER REQUEST - SLAVE POLL</v>
      </c>
      <c r="B181" t="s">
        <v>122</v>
      </c>
      <c r="C181" s="7" t="str">
        <f t="shared" si="9"/>
        <v>10</v>
      </c>
      <c r="D181" s="8" t="s">
        <v>109</v>
      </c>
      <c r="E181" s="7" t="str">
        <f t="shared" si="10"/>
        <v>31</v>
      </c>
    </row>
    <row r="182" spans="1:5" x14ac:dyDescent="0.25">
      <c r="A182" s="9" t="str">
        <f t="shared" si="8"/>
        <v>97 DISC INFO - TRACKS: 20, MINS: 79, SECS: 46, DISC: 1</v>
      </c>
      <c r="B182" t="s">
        <v>140</v>
      </c>
      <c r="C182" s="7" t="str">
        <f t="shared" si="9"/>
        <v>31</v>
      </c>
      <c r="D182" s="8" t="s">
        <v>109</v>
      </c>
      <c r="E182" s="7" t="str">
        <f t="shared" si="10"/>
        <v>10</v>
      </c>
    </row>
    <row r="183" spans="1:5" x14ac:dyDescent="0.25">
      <c r="A183" s="9" t="str">
        <f t="shared" si="8"/>
        <v>01 MASTER REQUEST - SLAVE POLL</v>
      </c>
      <c r="B183" t="s">
        <v>122</v>
      </c>
      <c r="C183" s="7" t="str">
        <f t="shared" si="9"/>
        <v>10</v>
      </c>
      <c r="D183" s="8" t="s">
        <v>109</v>
      </c>
      <c r="E183" s="7" t="str">
        <f t="shared" si="10"/>
        <v>31</v>
      </c>
    </row>
    <row r="184" spans="1:5" x14ac:dyDescent="0.25">
      <c r="A184" s="9" t="str">
        <f t="shared" si="8"/>
        <v>01 MASTER REQUEST - SLAVE POLL</v>
      </c>
      <c r="B184" t="s">
        <v>122</v>
      </c>
      <c r="C184" s="7" t="str">
        <f t="shared" si="9"/>
        <v>10</v>
      </c>
      <c r="D184" s="8" t="s">
        <v>109</v>
      </c>
      <c r="E184" s="7" t="str">
        <f t="shared" si="10"/>
        <v>31</v>
      </c>
    </row>
    <row r="185" spans="1:5" x14ac:dyDescent="0.25">
      <c r="A185" s="9" t="str">
        <f t="shared" si="8"/>
        <v>00 STATUS - PLAYING</v>
      </c>
      <c r="B185" t="s">
        <v>141</v>
      </c>
      <c r="C185" s="7" t="str">
        <f t="shared" si="9"/>
        <v>31</v>
      </c>
      <c r="D185" s="8" t="s">
        <v>109</v>
      </c>
      <c r="E185" s="7" t="str">
        <f t="shared" si="10"/>
        <v>10</v>
      </c>
    </row>
    <row r="186" spans="1:5" x14ac:dyDescent="0.25">
      <c r="A186" s="9" t="str">
        <f t="shared" si="8"/>
        <v>84 REQUEST MORE TEXT FIELDS - SEND MAGAZINE INFO</v>
      </c>
      <c r="B186" t="s">
        <v>125</v>
      </c>
      <c r="C186" s="7" t="str">
        <f t="shared" si="9"/>
        <v>10</v>
      </c>
      <c r="D186" s="8" t="s">
        <v>109</v>
      </c>
      <c r="E186" s="7" t="str">
        <f t="shared" si="10"/>
        <v>31</v>
      </c>
    </row>
    <row r="187" spans="1:5" x14ac:dyDescent="0.25">
      <c r="A187" s="9" t="str">
        <f t="shared" si="8"/>
        <v>01 MASTER REQUEST - TIME POLL</v>
      </c>
      <c r="B187" t="s">
        <v>126</v>
      </c>
      <c r="C187" s="7" t="str">
        <f t="shared" si="9"/>
        <v>10</v>
      </c>
      <c r="D187" s="8" t="s">
        <v>109</v>
      </c>
      <c r="E187" s="7" t="str">
        <f t="shared" si="10"/>
        <v>31</v>
      </c>
    </row>
    <row r="188" spans="1:5" x14ac:dyDescent="0.25">
      <c r="A188" s="9" t="str">
        <f t="shared" si="8"/>
        <v>00 STATUS - PLAYING</v>
      </c>
      <c r="B188" t="s">
        <v>141</v>
      </c>
      <c r="C188" s="7" t="str">
        <f t="shared" si="9"/>
        <v>31</v>
      </c>
      <c r="D188" s="8" t="s">
        <v>109</v>
      </c>
      <c r="E188" s="7" t="str">
        <f t="shared" si="10"/>
        <v>10</v>
      </c>
    </row>
    <row r="189" spans="1:5" x14ac:dyDescent="0.25">
      <c r="A189" s="9" t="str">
        <f t="shared" si="8"/>
        <v>84 REQUEST MORE TEXT FIELDS - SEND DISC INFO</v>
      </c>
      <c r="B189" t="s">
        <v>127</v>
      </c>
      <c r="C189" s="7" t="str">
        <f t="shared" si="9"/>
        <v>10</v>
      </c>
      <c r="D189" s="8" t="s">
        <v>109</v>
      </c>
      <c r="E189" s="7" t="str">
        <f t="shared" si="10"/>
        <v>31</v>
      </c>
    </row>
    <row r="190" spans="1:5" x14ac:dyDescent="0.25">
      <c r="A190" s="9" t="str">
        <f t="shared" si="8"/>
        <v>01 MASTER REQUEST - SLAVE POLL</v>
      </c>
      <c r="B190" t="s">
        <v>122</v>
      </c>
      <c r="C190" s="7" t="str">
        <f t="shared" si="9"/>
        <v>10</v>
      </c>
      <c r="D190" s="8" t="s">
        <v>109</v>
      </c>
      <c r="E190" s="7" t="str">
        <f t="shared" si="10"/>
        <v>31</v>
      </c>
    </row>
    <row r="191" spans="1:5" x14ac:dyDescent="0.25">
      <c r="A191" s="9" t="str">
        <f t="shared" si="8"/>
        <v>95 MAGAZINE INFO - CD1 YES, CD2 YES, CD3 NO, CD4 NO, CD5 NO, CD6 NO</v>
      </c>
      <c r="B191" t="s">
        <v>128</v>
      </c>
      <c r="C191" s="7" t="str">
        <f t="shared" si="9"/>
        <v>31</v>
      </c>
      <c r="D191" s="8" t="s">
        <v>109</v>
      </c>
      <c r="E191" s="7" t="str">
        <f t="shared" si="10"/>
        <v>10</v>
      </c>
    </row>
    <row r="192" spans="1:5" x14ac:dyDescent="0.25">
      <c r="A192" s="9" t="str">
        <f t="shared" si="8"/>
        <v>01 MASTER REQUEST - SLAVE POLL</v>
      </c>
      <c r="B192" t="s">
        <v>122</v>
      </c>
      <c r="C192" s="7" t="str">
        <f t="shared" si="9"/>
        <v>10</v>
      </c>
      <c r="D192" s="8" t="s">
        <v>109</v>
      </c>
      <c r="E192" s="7" t="str">
        <f t="shared" si="10"/>
        <v>31</v>
      </c>
    </row>
    <row r="193" spans="1:5" x14ac:dyDescent="0.25">
      <c r="A193" s="9" t="str">
        <f t="shared" si="8"/>
        <v>90 TIME- TRACK: 01, 00:01, DISC: 1</v>
      </c>
      <c r="B193" t="s">
        <v>162</v>
      </c>
      <c r="C193" s="7" t="str">
        <f t="shared" si="9"/>
        <v>31</v>
      </c>
      <c r="D193" s="8" t="s">
        <v>109</v>
      </c>
      <c r="E193" s="7" t="str">
        <f t="shared" si="10"/>
        <v>70</v>
      </c>
    </row>
    <row r="194" spans="1:5" x14ac:dyDescent="0.25">
      <c r="A194" s="9" t="str">
        <f t="shared" si="8"/>
        <v>01 MASTER REQUEST - SLAVE POLL</v>
      </c>
      <c r="B194" t="s">
        <v>122</v>
      </c>
      <c r="C194" s="7" t="str">
        <f t="shared" si="9"/>
        <v>10</v>
      </c>
      <c r="D194" s="8" t="s">
        <v>109</v>
      </c>
      <c r="E194" s="7" t="str">
        <f t="shared" si="10"/>
        <v>31</v>
      </c>
    </row>
    <row r="195" spans="1:5" x14ac:dyDescent="0.25">
      <c r="A195" s="9" t="str">
        <f t="shared" ref="A195:A224" si="11">ParseUnilink(B195)</f>
        <v>97 DISC INFO - TRACKS: 20, MINS: 79, SECS: 46, DISC: 1</v>
      </c>
      <c r="B195" t="s">
        <v>140</v>
      </c>
      <c r="C195" s="7" t="str">
        <f t="shared" ref="C195:C224" si="12">MID(B195,4,2)</f>
        <v>31</v>
      </c>
      <c r="D195" s="8" t="s">
        <v>109</v>
      </c>
      <c r="E195" s="7" t="str">
        <f t="shared" ref="E195:E224" si="13">MID(B195,1,2)</f>
        <v>10</v>
      </c>
    </row>
    <row r="196" spans="1:5" x14ac:dyDescent="0.25">
      <c r="A196" s="9" t="str">
        <f t="shared" si="11"/>
        <v>01 MASTER REQUEST - SLAVE POLL</v>
      </c>
      <c r="B196" t="s">
        <v>122</v>
      </c>
      <c r="C196" s="7" t="str">
        <f t="shared" si="12"/>
        <v>10</v>
      </c>
      <c r="D196" s="8" t="s">
        <v>109</v>
      </c>
      <c r="E196" s="7" t="str">
        <f t="shared" si="13"/>
        <v>31</v>
      </c>
    </row>
    <row r="197" spans="1:5" x14ac:dyDescent="0.25">
      <c r="A197" s="9" t="str">
        <f t="shared" si="11"/>
        <v>00 STATUS - PLAYING</v>
      </c>
      <c r="B197" t="s">
        <v>141</v>
      </c>
      <c r="C197" s="7" t="str">
        <f t="shared" si="12"/>
        <v>31</v>
      </c>
      <c r="D197" s="8" t="s">
        <v>109</v>
      </c>
      <c r="E197" s="7" t="str">
        <f t="shared" si="13"/>
        <v>10</v>
      </c>
    </row>
    <row r="198" spans="1:5" x14ac:dyDescent="0.25">
      <c r="A198" s="9" t="str">
        <f t="shared" si="11"/>
        <v>01 MASTER REQUEST - SLAVE POLL</v>
      </c>
      <c r="B198" t="s">
        <v>122</v>
      </c>
      <c r="C198" s="7" t="str">
        <f t="shared" si="12"/>
        <v>10</v>
      </c>
      <c r="D198" s="8" t="s">
        <v>109</v>
      </c>
      <c r="E198" s="7" t="str">
        <f t="shared" si="13"/>
        <v>31</v>
      </c>
    </row>
    <row r="199" spans="1:5" x14ac:dyDescent="0.25">
      <c r="A199" s="9" t="str">
        <f t="shared" si="11"/>
        <v>01 MASTER REQUEST - SLAVE POLL</v>
      </c>
      <c r="B199" t="s">
        <v>122</v>
      </c>
      <c r="C199" s="7" t="str">
        <f t="shared" si="12"/>
        <v>10</v>
      </c>
      <c r="D199" s="8" t="s">
        <v>109</v>
      </c>
      <c r="E199" s="7" t="str">
        <f t="shared" si="13"/>
        <v>31</v>
      </c>
    </row>
    <row r="200" spans="1:5" x14ac:dyDescent="0.25">
      <c r="A200" s="9" t="str">
        <f t="shared" si="11"/>
        <v>00 STATUS - PLAYING</v>
      </c>
      <c r="B200" t="s">
        <v>141</v>
      </c>
      <c r="C200" s="7" t="str">
        <f t="shared" si="12"/>
        <v>31</v>
      </c>
      <c r="D200" s="8" t="s">
        <v>109</v>
      </c>
      <c r="E200" s="7" t="str">
        <f t="shared" si="13"/>
        <v>10</v>
      </c>
    </row>
    <row r="201" spans="1:5" x14ac:dyDescent="0.25">
      <c r="A201" s="9" t="str">
        <f t="shared" si="11"/>
        <v>84 REQUEST MORE TEXT FIELDS - SEND MAGAZINE INFO</v>
      </c>
      <c r="B201" t="s">
        <v>125</v>
      </c>
      <c r="C201" s="7" t="str">
        <f t="shared" si="12"/>
        <v>10</v>
      </c>
      <c r="D201" s="8" t="s">
        <v>109</v>
      </c>
      <c r="E201" s="7" t="str">
        <f t="shared" si="13"/>
        <v>31</v>
      </c>
    </row>
    <row r="202" spans="1:5" x14ac:dyDescent="0.25">
      <c r="A202" s="9" t="str">
        <f t="shared" si="11"/>
        <v>01 MASTER REQUEST - TIME POLL</v>
      </c>
      <c r="B202" t="s">
        <v>126</v>
      </c>
      <c r="C202" s="7" t="str">
        <f t="shared" si="12"/>
        <v>10</v>
      </c>
      <c r="D202" s="8" t="s">
        <v>109</v>
      </c>
      <c r="E202" s="7" t="str">
        <f t="shared" si="13"/>
        <v>31</v>
      </c>
    </row>
    <row r="203" spans="1:5" x14ac:dyDescent="0.25">
      <c r="A203" s="9" t="str">
        <f t="shared" si="11"/>
        <v>00 STATUS - PLAYING</v>
      </c>
      <c r="B203" t="s">
        <v>141</v>
      </c>
      <c r="C203" s="7" t="str">
        <f t="shared" si="12"/>
        <v>31</v>
      </c>
      <c r="D203" s="8" t="s">
        <v>109</v>
      </c>
      <c r="E203" s="7" t="str">
        <f t="shared" si="13"/>
        <v>10</v>
      </c>
    </row>
    <row r="204" spans="1:5" x14ac:dyDescent="0.25">
      <c r="A204" s="9" t="str">
        <f t="shared" si="11"/>
        <v>84 REQUEST MORE TEXT FIELDS - SEND DISC INFO</v>
      </c>
      <c r="B204" t="s">
        <v>127</v>
      </c>
      <c r="C204" s="7" t="str">
        <f t="shared" si="12"/>
        <v>10</v>
      </c>
      <c r="D204" s="8" t="s">
        <v>109</v>
      </c>
      <c r="E204" s="7" t="str">
        <f t="shared" si="13"/>
        <v>31</v>
      </c>
    </row>
    <row r="205" spans="1:5" x14ac:dyDescent="0.25">
      <c r="A205" s="9" t="str">
        <f t="shared" si="11"/>
        <v>01 MASTER REQUEST - SLAVE POLL</v>
      </c>
      <c r="B205" t="s">
        <v>122</v>
      </c>
      <c r="C205" s="7" t="str">
        <f t="shared" si="12"/>
        <v>10</v>
      </c>
      <c r="D205" s="8" t="s">
        <v>109</v>
      </c>
      <c r="E205" s="7" t="str">
        <f t="shared" si="13"/>
        <v>31</v>
      </c>
    </row>
    <row r="206" spans="1:5" x14ac:dyDescent="0.25">
      <c r="A206" s="9" t="str">
        <f t="shared" si="11"/>
        <v>95 MAGAZINE INFO - CD1 YES, CD2 YES, CD3 NO, CD4 NO, CD5 NO, CD6 NO</v>
      </c>
      <c r="B206" t="s">
        <v>128</v>
      </c>
      <c r="C206" s="7" t="str">
        <f t="shared" si="12"/>
        <v>31</v>
      </c>
      <c r="D206" s="8" t="s">
        <v>109</v>
      </c>
      <c r="E206" s="7" t="str">
        <f t="shared" si="13"/>
        <v>10</v>
      </c>
    </row>
    <row r="207" spans="1:5" x14ac:dyDescent="0.25">
      <c r="A207" s="9" t="str">
        <f t="shared" si="11"/>
        <v>01 MASTER REQUEST - SLAVE POLL</v>
      </c>
      <c r="B207" t="s">
        <v>122</v>
      </c>
      <c r="C207" s="7" t="str">
        <f t="shared" si="12"/>
        <v>10</v>
      </c>
      <c r="D207" s="8" t="s">
        <v>109</v>
      </c>
      <c r="E207" s="7" t="str">
        <f t="shared" si="13"/>
        <v>31</v>
      </c>
    </row>
    <row r="208" spans="1:5" x14ac:dyDescent="0.25">
      <c r="A208" s="9" t="str">
        <f t="shared" si="11"/>
        <v>97 DISC INFO - TRACKS: 20, MINS: 79, SECS: 46, DISC: 1</v>
      </c>
      <c r="B208" t="s">
        <v>140</v>
      </c>
      <c r="C208" s="7" t="str">
        <f t="shared" si="12"/>
        <v>31</v>
      </c>
      <c r="D208" s="8" t="s">
        <v>109</v>
      </c>
      <c r="E208" s="7" t="str">
        <f t="shared" si="13"/>
        <v>10</v>
      </c>
    </row>
    <row r="209" spans="1:5" x14ac:dyDescent="0.25">
      <c r="A209" s="9" t="str">
        <f t="shared" si="11"/>
        <v>01 MASTER REQUEST - SLAVE POLL</v>
      </c>
      <c r="B209" t="s">
        <v>122</v>
      </c>
      <c r="C209" s="7" t="str">
        <f t="shared" si="12"/>
        <v>10</v>
      </c>
      <c r="D209" s="8" t="s">
        <v>109</v>
      </c>
      <c r="E209" s="7" t="str">
        <f t="shared" si="13"/>
        <v>31</v>
      </c>
    </row>
    <row r="210" spans="1:5" x14ac:dyDescent="0.25">
      <c r="A210" s="9" t="str">
        <f t="shared" si="11"/>
        <v>90 TIME- TRACK: 01, 00:03, DISC: 1</v>
      </c>
      <c r="B210" t="s">
        <v>163</v>
      </c>
      <c r="C210" s="7" t="str">
        <f t="shared" si="12"/>
        <v>31</v>
      </c>
      <c r="D210" s="8" t="s">
        <v>109</v>
      </c>
      <c r="E210" s="7" t="str">
        <f t="shared" si="13"/>
        <v>70</v>
      </c>
    </row>
    <row r="211" spans="1:5" x14ac:dyDescent="0.25">
      <c r="A211" s="9" t="str">
        <f t="shared" si="11"/>
        <v>01 MASTER REQUEST - SLAVE POLL</v>
      </c>
      <c r="B211" t="s">
        <v>122</v>
      </c>
      <c r="C211" s="7" t="str">
        <f t="shared" si="12"/>
        <v>10</v>
      </c>
      <c r="D211" s="8" t="s">
        <v>109</v>
      </c>
      <c r="E211" s="7" t="str">
        <f t="shared" si="13"/>
        <v>31</v>
      </c>
    </row>
    <row r="212" spans="1:5" x14ac:dyDescent="0.25">
      <c r="A212" s="9" t="str">
        <f t="shared" si="11"/>
        <v>00 STATUS - PLAYING</v>
      </c>
      <c r="B212" t="s">
        <v>141</v>
      </c>
      <c r="C212" s="7" t="str">
        <f t="shared" si="12"/>
        <v>31</v>
      </c>
      <c r="D212" s="8" t="s">
        <v>109</v>
      </c>
      <c r="E212" s="7" t="str">
        <f t="shared" si="13"/>
        <v>10</v>
      </c>
    </row>
    <row r="213" spans="1:5" x14ac:dyDescent="0.25">
      <c r="A213" s="9" t="str">
        <f t="shared" si="11"/>
        <v>84 REQUEST MORE TEXT FIELDS - SEND MAGAZINE INFO</v>
      </c>
      <c r="B213" t="s">
        <v>125</v>
      </c>
      <c r="C213" s="7" t="str">
        <f t="shared" si="12"/>
        <v>10</v>
      </c>
      <c r="D213" s="8" t="s">
        <v>109</v>
      </c>
      <c r="E213" s="7" t="str">
        <f t="shared" si="13"/>
        <v>31</v>
      </c>
    </row>
    <row r="214" spans="1:5" x14ac:dyDescent="0.25">
      <c r="A214" s="9" t="str">
        <f t="shared" si="11"/>
        <v>01 MASTER REQUEST - TIME POLL</v>
      </c>
      <c r="B214" t="s">
        <v>126</v>
      </c>
      <c r="C214" s="7" t="str">
        <f t="shared" si="12"/>
        <v>10</v>
      </c>
      <c r="D214" s="8" t="s">
        <v>109</v>
      </c>
      <c r="E214" s="7" t="str">
        <f t="shared" si="13"/>
        <v>31</v>
      </c>
    </row>
    <row r="215" spans="1:5" x14ac:dyDescent="0.25">
      <c r="A215" s="9" t="str">
        <f t="shared" si="11"/>
        <v>00 STATUS - PLAYING</v>
      </c>
      <c r="B215" t="s">
        <v>141</v>
      </c>
      <c r="C215" s="7" t="str">
        <f t="shared" si="12"/>
        <v>31</v>
      </c>
      <c r="D215" s="8" t="s">
        <v>109</v>
      </c>
      <c r="E215" s="7" t="str">
        <f t="shared" si="13"/>
        <v>10</v>
      </c>
    </row>
    <row r="216" spans="1:5" x14ac:dyDescent="0.25">
      <c r="A216" s="9" t="str">
        <f t="shared" si="11"/>
        <v>84 REQUEST MORE TEXT FIELDS - SEND DISC INFO</v>
      </c>
      <c r="B216" t="s">
        <v>127</v>
      </c>
      <c r="C216" s="7" t="str">
        <f t="shared" si="12"/>
        <v>10</v>
      </c>
      <c r="D216" s="8" t="s">
        <v>109</v>
      </c>
      <c r="E216" s="7" t="str">
        <f t="shared" si="13"/>
        <v>31</v>
      </c>
    </row>
    <row r="217" spans="1:5" x14ac:dyDescent="0.25">
      <c r="A217" s="9" t="str">
        <f t="shared" si="11"/>
        <v>01 MASTER REQUEST - SLAVE POLL</v>
      </c>
      <c r="B217" t="s">
        <v>122</v>
      </c>
      <c r="C217" s="7" t="str">
        <f t="shared" si="12"/>
        <v>10</v>
      </c>
      <c r="D217" s="8" t="s">
        <v>109</v>
      </c>
      <c r="E217" s="7" t="str">
        <f t="shared" si="13"/>
        <v>31</v>
      </c>
    </row>
    <row r="218" spans="1:5" x14ac:dyDescent="0.25">
      <c r="A218" s="9" t="str">
        <f t="shared" si="11"/>
        <v>95 MAGAZINE INFO - CD1 YES, CD2 YES, CD3 NO, CD4 NO, CD5 NO, CD6 NO</v>
      </c>
      <c r="B218" t="s">
        <v>128</v>
      </c>
      <c r="C218" s="7" t="str">
        <f t="shared" si="12"/>
        <v>31</v>
      </c>
      <c r="D218" s="8" t="s">
        <v>109</v>
      </c>
      <c r="E218" s="7" t="str">
        <f t="shared" si="13"/>
        <v>10</v>
      </c>
    </row>
    <row r="219" spans="1:5" x14ac:dyDescent="0.25">
      <c r="A219" s="9" t="str">
        <f t="shared" si="11"/>
        <v>01 MASTER REQUEST - SLAVE POLL</v>
      </c>
      <c r="B219" t="s">
        <v>122</v>
      </c>
      <c r="C219" s="7" t="str">
        <f t="shared" si="12"/>
        <v>10</v>
      </c>
      <c r="D219" s="8" t="s">
        <v>109</v>
      </c>
      <c r="E219" s="7" t="str">
        <f t="shared" si="13"/>
        <v>31</v>
      </c>
    </row>
    <row r="220" spans="1:5" x14ac:dyDescent="0.25">
      <c r="A220" s="9" t="str">
        <f t="shared" si="11"/>
        <v>97 DISC INFO - TRACKS: 20, MINS: 79, SECS: 46, DISC: 1</v>
      </c>
      <c r="B220" t="s">
        <v>140</v>
      </c>
      <c r="C220" s="7" t="str">
        <f t="shared" si="12"/>
        <v>31</v>
      </c>
      <c r="D220" s="8" t="s">
        <v>109</v>
      </c>
      <c r="E220" s="7" t="str">
        <f t="shared" si="13"/>
        <v>10</v>
      </c>
    </row>
    <row r="221" spans="1:5" x14ac:dyDescent="0.25">
      <c r="A221" s="9" t="str">
        <f t="shared" si="11"/>
        <v>01 MASTER REQUEST - SLAVE POLL</v>
      </c>
      <c r="B221" t="s">
        <v>122</v>
      </c>
      <c r="C221" s="7" t="str">
        <f t="shared" si="12"/>
        <v>10</v>
      </c>
      <c r="D221" s="8" t="s">
        <v>109</v>
      </c>
      <c r="E221" s="7" t="str">
        <f t="shared" si="13"/>
        <v>31</v>
      </c>
    </row>
    <row r="222" spans="1:5" x14ac:dyDescent="0.25">
      <c r="A222" s="9" t="str">
        <f t="shared" si="11"/>
        <v>90 TIME- TRACK: 01, 00:04, DISC: 1</v>
      </c>
      <c r="B222" t="s">
        <v>164</v>
      </c>
      <c r="C222" s="7" t="str">
        <f t="shared" si="12"/>
        <v>31</v>
      </c>
      <c r="D222" s="8" t="s">
        <v>109</v>
      </c>
      <c r="E222" s="7" t="str">
        <f t="shared" si="13"/>
        <v>70</v>
      </c>
    </row>
    <row r="223" spans="1:5" x14ac:dyDescent="0.25">
      <c r="A223" s="9" t="str">
        <f t="shared" si="11"/>
        <v>01 MASTER REQUEST - SLAVE POLL</v>
      </c>
      <c r="B223" t="s">
        <v>122</v>
      </c>
      <c r="C223" s="7" t="str">
        <f t="shared" si="12"/>
        <v>10</v>
      </c>
      <c r="D223" s="8" t="s">
        <v>109</v>
      </c>
      <c r="E223" s="7" t="str">
        <f t="shared" si="13"/>
        <v>31</v>
      </c>
    </row>
    <row r="224" spans="1:5" x14ac:dyDescent="0.25">
      <c r="A224" s="9" t="str">
        <f t="shared" si="11"/>
        <v>00 STATUS - PLAYING</v>
      </c>
      <c r="B224" t="s">
        <v>141</v>
      </c>
      <c r="C224" s="7" t="str">
        <f t="shared" si="12"/>
        <v>31</v>
      </c>
      <c r="D224" s="8" t="s">
        <v>109</v>
      </c>
      <c r="E224" s="7" t="str">
        <f t="shared" si="13"/>
        <v>10</v>
      </c>
    </row>
  </sheetData>
  <conditionalFormatting sqref="A2:A224">
    <cfRule type="expression" dxfId="198" priority="7">
      <formula>AND(EXACT($A$1,"01"),EXACT(MID(B2,7,5),"01 02"))</formula>
    </cfRule>
    <cfRule type="expression" dxfId="197" priority="8">
      <formula>AND(EXACT($A$1,"01"),EXACT(MID(B2,7,5),"01 00"))</formula>
    </cfRule>
    <cfRule type="expression" dxfId="190" priority="9">
      <formula>EXACT(UPPER($A$1),UPPER(MID(B2,7,2)))</formula>
    </cfRule>
  </conditionalFormatting>
  <conditionalFormatting sqref="B2:B224">
    <cfRule type="expression" dxfId="196" priority="10">
      <formula>EXACT(MID(B2,4,2),"31")</formula>
    </cfRule>
    <cfRule type="expression" dxfId="195" priority="11">
      <formula>EXACT(MID(B2,4,2),"30")</formula>
    </cfRule>
    <cfRule type="expression" dxfId="194" priority="12">
      <formula>EXACT(MID(B2,4,2),"10")</formula>
    </cfRule>
    <cfRule type="expression" dxfId="193" priority="13">
      <formula>EXACT(MID(B2,4,2),"11")</formula>
    </cfRule>
  </conditionalFormatting>
  <conditionalFormatting sqref="C2:C224 E2:E224">
    <cfRule type="expression" dxfId="192" priority="2">
      <formula>GESTEP(HEX2DEC($E2),70)</formula>
    </cfRule>
  </conditionalFormatting>
  <conditionalFormatting sqref="D2:D224">
    <cfRule type="expression" dxfId="191" priority="1">
      <formula>GESTEP(HEX2DEC($E2),70)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efresh_button_Click">
                <anchor mov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752475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/>
  <dimension ref="A1:L66"/>
  <sheetViews>
    <sheetView zoomScaleNormal="100" workbookViewId="0"/>
  </sheetViews>
  <sheetFormatPr baseColWidth="10" defaultRowHeight="15" x14ac:dyDescent="0.25"/>
  <cols>
    <col min="1" max="1" width="80.7109375" customWidth="1"/>
    <col min="2" max="2" width="38.7109375" customWidth="1"/>
    <col min="3" max="5" width="3.7109375" customWidth="1"/>
    <col min="7" max="7" width="20.7109375" customWidth="1"/>
    <col min="8" max="8" width="6.7109375" customWidth="1"/>
  </cols>
  <sheetData>
    <row r="1" spans="1:12" x14ac:dyDescent="0.25">
      <c r="A1" s="11" t="s">
        <v>316</v>
      </c>
      <c r="B1" s="10" t="s">
        <v>184</v>
      </c>
      <c r="C1" t="s">
        <v>185</v>
      </c>
      <c r="E1" t="s">
        <v>186</v>
      </c>
      <c r="G1" s="19" t="s">
        <v>315</v>
      </c>
      <c r="H1" s="19"/>
      <c r="I1" s="19"/>
      <c r="J1" s="18"/>
      <c r="K1" s="18"/>
      <c r="L1" s="18"/>
    </row>
    <row r="2" spans="1:12" x14ac:dyDescent="0.25">
      <c r="A2" s="9" t="str">
        <f>ParseUnilink(B2)</f>
        <v>01 MASTER REQUEST - SLAVE POLL</v>
      </c>
      <c r="B2" t="s">
        <v>122</v>
      </c>
      <c r="C2" s="7" t="str">
        <f t="shared" ref="C2" si="0">MID(B2,4,2)</f>
        <v>10</v>
      </c>
      <c r="D2" s="8" t="s">
        <v>109</v>
      </c>
      <c r="E2" s="7" t="str">
        <f t="shared" ref="E2" si="1">MID(B2,1,2)</f>
        <v>31</v>
      </c>
      <c r="G2" s="19" t="s">
        <v>108</v>
      </c>
      <c r="H2" s="18"/>
      <c r="I2" s="18"/>
      <c r="J2" s="18"/>
      <c r="K2" s="18"/>
      <c r="L2" s="18"/>
    </row>
    <row r="3" spans="1:12" x14ac:dyDescent="0.25">
      <c r="A3" s="9" t="str">
        <f t="shared" ref="A3:A66" si="2">ParseUnilink(B3)</f>
        <v>95 MAGAZINE INFO - CD1 NO, CD2 NO, CD3 NO, CD4 NO, CD5 NO, CD6 NO</v>
      </c>
      <c r="B3" t="s">
        <v>166</v>
      </c>
      <c r="C3" s="7" t="str">
        <f t="shared" ref="C3:C66" si="3">MID(B3,4,2)</f>
        <v>31</v>
      </c>
      <c r="D3" s="8" t="s">
        <v>109</v>
      </c>
      <c r="E3" s="7" t="str">
        <f t="shared" ref="E3:E66" si="4">MID(B3,1,2)</f>
        <v>70</v>
      </c>
    </row>
    <row r="4" spans="1:12" ht="15.75" thickBot="1" x14ac:dyDescent="0.3">
      <c r="A4" s="9" t="str">
        <f t="shared" si="2"/>
        <v>01 MASTER REQUEST - SLAVE POLL</v>
      </c>
      <c r="B4" t="s">
        <v>122</v>
      </c>
      <c r="C4" s="7" t="str">
        <f t="shared" si="3"/>
        <v>10</v>
      </c>
      <c r="D4" s="8" t="s">
        <v>109</v>
      </c>
      <c r="E4" s="7" t="str">
        <f t="shared" si="4"/>
        <v>31</v>
      </c>
    </row>
    <row r="5" spans="1:12" ht="15.75" thickBot="1" x14ac:dyDescent="0.3">
      <c r="A5" s="9" t="str">
        <f t="shared" si="2"/>
        <v>8E MAGAZIN INFO - NO MAGAZIN</v>
      </c>
      <c r="B5" t="s">
        <v>167</v>
      </c>
      <c r="C5" s="7" t="str">
        <f t="shared" si="3"/>
        <v>31</v>
      </c>
      <c r="D5" s="8" t="s">
        <v>109</v>
      </c>
      <c r="E5" s="7" t="str">
        <f t="shared" si="4"/>
        <v>70</v>
      </c>
      <c r="G5" s="12" t="s">
        <v>314</v>
      </c>
      <c r="H5" s="13" t="s">
        <v>313</v>
      </c>
    </row>
    <row r="6" spans="1:12" x14ac:dyDescent="0.25">
      <c r="A6" s="9" t="str">
        <f t="shared" si="2"/>
        <v>01 MASTER REQUEST - SLAVE POLL</v>
      </c>
      <c r="B6" t="s">
        <v>122</v>
      </c>
      <c r="C6" s="7" t="str">
        <f t="shared" si="3"/>
        <v>10</v>
      </c>
      <c r="D6" s="8" t="s">
        <v>109</v>
      </c>
      <c r="E6" s="7" t="str">
        <f t="shared" si="4"/>
        <v>31</v>
      </c>
      <c r="G6" s="16" t="s">
        <v>243</v>
      </c>
      <c r="H6" s="14" t="s">
        <v>148</v>
      </c>
    </row>
    <row r="7" spans="1:12" x14ac:dyDescent="0.25">
      <c r="A7" s="9" t="str">
        <f t="shared" si="2"/>
        <v>94 Configuration change - Mute OFF, Loudness OFF, Phone unmuted</v>
      </c>
      <c r="B7" t="s">
        <v>168</v>
      </c>
      <c r="C7" s="7" t="str">
        <f t="shared" si="3"/>
        <v>31</v>
      </c>
      <c r="D7" s="8" t="s">
        <v>109</v>
      </c>
      <c r="E7" s="7" t="str">
        <f t="shared" si="4"/>
        <v>70</v>
      </c>
      <c r="G7" s="16" t="s">
        <v>244</v>
      </c>
      <c r="H7" s="14" t="s">
        <v>148</v>
      </c>
    </row>
    <row r="8" spans="1:12" x14ac:dyDescent="0.25">
      <c r="A8" s="9" t="str">
        <f t="shared" si="2"/>
        <v>84 REQUEST MORE TEXT FIELDS - SEND MAGAZINE INFO</v>
      </c>
      <c r="B8" t="s">
        <v>125</v>
      </c>
      <c r="C8" s="7" t="str">
        <f t="shared" si="3"/>
        <v>10</v>
      </c>
      <c r="D8" s="8" t="s">
        <v>109</v>
      </c>
      <c r="E8" s="7" t="str">
        <f t="shared" si="4"/>
        <v>31</v>
      </c>
      <c r="G8" s="16" t="s">
        <v>245</v>
      </c>
      <c r="H8" s="14" t="s">
        <v>148</v>
      </c>
    </row>
    <row r="9" spans="1:12" x14ac:dyDescent="0.25">
      <c r="A9" s="9" t="str">
        <f t="shared" si="2"/>
        <v>01 MASTER REQUEST - TIME POLL</v>
      </c>
      <c r="B9" t="s">
        <v>126</v>
      </c>
      <c r="C9" s="7" t="str">
        <f t="shared" si="3"/>
        <v>10</v>
      </c>
      <c r="D9" s="8" t="s">
        <v>109</v>
      </c>
      <c r="E9" s="7" t="str">
        <f t="shared" si="4"/>
        <v>31</v>
      </c>
      <c r="G9" s="16" t="s">
        <v>246</v>
      </c>
      <c r="H9" s="14" t="s">
        <v>242</v>
      </c>
    </row>
    <row r="10" spans="1:12" x14ac:dyDescent="0.25">
      <c r="A10" s="9" t="str">
        <f t="shared" si="2"/>
        <v>00 STATUS - EJECTING</v>
      </c>
      <c r="B10" t="s">
        <v>169</v>
      </c>
      <c r="C10" s="7" t="str">
        <f t="shared" si="3"/>
        <v>31</v>
      </c>
      <c r="D10" s="8" t="s">
        <v>109</v>
      </c>
      <c r="E10" s="7" t="str">
        <f t="shared" si="4"/>
        <v>10</v>
      </c>
      <c r="G10" s="16" t="s">
        <v>247</v>
      </c>
      <c r="H10" s="14" t="s">
        <v>287</v>
      </c>
    </row>
    <row r="11" spans="1:12" x14ac:dyDescent="0.25">
      <c r="A11" s="9" t="str">
        <f t="shared" si="2"/>
        <v>84 REQUEST MORE TEXT FIELDS - SEND DISC INFO</v>
      </c>
      <c r="B11" t="s">
        <v>127</v>
      </c>
      <c r="C11" s="7" t="str">
        <f t="shared" si="3"/>
        <v>10</v>
      </c>
      <c r="D11" s="8" t="s">
        <v>109</v>
      </c>
      <c r="E11" s="7" t="str">
        <f t="shared" si="4"/>
        <v>31</v>
      </c>
      <c r="G11" s="16" t="s">
        <v>248</v>
      </c>
      <c r="H11" s="14" t="s">
        <v>287</v>
      </c>
    </row>
    <row r="12" spans="1:12" x14ac:dyDescent="0.25">
      <c r="A12" s="9" t="str">
        <f t="shared" si="2"/>
        <v>01 MASTER REQUEST - SLAVE POLL</v>
      </c>
      <c r="B12" t="s">
        <v>122</v>
      </c>
      <c r="C12" s="7" t="str">
        <f t="shared" si="3"/>
        <v>10</v>
      </c>
      <c r="D12" s="8" t="s">
        <v>109</v>
      </c>
      <c r="E12" s="7" t="str">
        <f t="shared" si="4"/>
        <v>31</v>
      </c>
      <c r="G12" s="16" t="s">
        <v>249</v>
      </c>
      <c r="H12" s="14" t="s">
        <v>288</v>
      </c>
    </row>
    <row r="13" spans="1:12" x14ac:dyDescent="0.25">
      <c r="A13" s="9" t="str">
        <f t="shared" si="2"/>
        <v>95 MAGAZINE INFO - CD1 NO, CD2 NO, CD3 NO, CD4 NO, CD5 NO, CD6 NO</v>
      </c>
      <c r="B13" t="s">
        <v>170</v>
      </c>
      <c r="C13" s="7" t="str">
        <f t="shared" si="3"/>
        <v>31</v>
      </c>
      <c r="D13" s="8" t="s">
        <v>109</v>
      </c>
      <c r="E13" s="7" t="str">
        <f t="shared" si="4"/>
        <v>10</v>
      </c>
      <c r="G13" s="16" t="s">
        <v>250</v>
      </c>
      <c r="H13" s="14" t="s">
        <v>289</v>
      </c>
    </row>
    <row r="14" spans="1:12" x14ac:dyDescent="0.25">
      <c r="A14" s="9" t="str">
        <f t="shared" si="2"/>
        <v>01 MASTER REQUEST - SLAVE POLL</v>
      </c>
      <c r="B14" t="s">
        <v>122</v>
      </c>
      <c r="C14" s="7" t="str">
        <f t="shared" si="3"/>
        <v>10</v>
      </c>
      <c r="D14" s="8" t="s">
        <v>109</v>
      </c>
      <c r="E14" s="7" t="str">
        <f t="shared" si="4"/>
        <v>31</v>
      </c>
      <c r="G14" s="16" t="s">
        <v>251</v>
      </c>
      <c r="H14" s="14" t="s">
        <v>290</v>
      </c>
    </row>
    <row r="15" spans="1:12" x14ac:dyDescent="0.25">
      <c r="A15" s="9" t="str">
        <f t="shared" si="2"/>
        <v>97 DISC INFO - TRACKS: 20, MINS: 79, SECS: 46, DISC: 1</v>
      </c>
      <c r="B15" t="s">
        <v>140</v>
      </c>
      <c r="C15" s="7" t="str">
        <f t="shared" si="3"/>
        <v>31</v>
      </c>
      <c r="D15" s="8" t="s">
        <v>109</v>
      </c>
      <c r="E15" s="7" t="str">
        <f t="shared" si="4"/>
        <v>10</v>
      </c>
      <c r="G15" s="16" t="s">
        <v>252</v>
      </c>
      <c r="H15" s="14" t="s">
        <v>291</v>
      </c>
    </row>
    <row r="16" spans="1:12" x14ac:dyDescent="0.25">
      <c r="A16" s="9" t="str">
        <f t="shared" si="2"/>
        <v>84 REQUEST MORE TEXT FIELDS - SEND MAGAZINE INFO</v>
      </c>
      <c r="B16" t="s">
        <v>125</v>
      </c>
      <c r="C16" s="7" t="str">
        <f t="shared" si="3"/>
        <v>10</v>
      </c>
      <c r="D16" s="8" t="s">
        <v>109</v>
      </c>
      <c r="E16" s="7" t="str">
        <f t="shared" si="4"/>
        <v>31</v>
      </c>
      <c r="G16" s="16" t="s">
        <v>253</v>
      </c>
      <c r="H16" s="14" t="s">
        <v>292</v>
      </c>
    </row>
    <row r="17" spans="1:8" x14ac:dyDescent="0.25">
      <c r="A17" s="9" t="str">
        <f t="shared" si="2"/>
        <v>01 MASTER REQUEST - TIME POLL</v>
      </c>
      <c r="B17" t="s">
        <v>126</v>
      </c>
      <c r="C17" s="7" t="str">
        <f t="shared" si="3"/>
        <v>10</v>
      </c>
      <c r="D17" s="8" t="s">
        <v>109</v>
      </c>
      <c r="E17" s="7" t="str">
        <f t="shared" si="4"/>
        <v>31</v>
      </c>
      <c r="G17" s="16" t="s">
        <v>254</v>
      </c>
      <c r="H17" s="14" t="s">
        <v>293</v>
      </c>
    </row>
    <row r="18" spans="1:8" x14ac:dyDescent="0.25">
      <c r="A18" s="9" t="str">
        <f t="shared" si="2"/>
        <v>00 STATUS - EJECTING</v>
      </c>
      <c r="B18" t="s">
        <v>169</v>
      </c>
      <c r="C18" s="7" t="str">
        <f t="shared" si="3"/>
        <v>31</v>
      </c>
      <c r="D18" s="8" t="s">
        <v>109</v>
      </c>
      <c r="E18" s="7" t="str">
        <f t="shared" si="4"/>
        <v>10</v>
      </c>
      <c r="G18" s="16" t="s">
        <v>255</v>
      </c>
      <c r="H18" s="14" t="s">
        <v>294</v>
      </c>
    </row>
    <row r="19" spans="1:8" x14ac:dyDescent="0.25">
      <c r="A19" s="9" t="str">
        <f t="shared" si="2"/>
        <v>84 REQUEST MORE TEXT FIELDS - SEND DISC INFO</v>
      </c>
      <c r="B19" t="s">
        <v>127</v>
      </c>
      <c r="C19" s="7" t="str">
        <f t="shared" si="3"/>
        <v>10</v>
      </c>
      <c r="D19" s="8" t="s">
        <v>109</v>
      </c>
      <c r="E19" s="7" t="str">
        <f t="shared" si="4"/>
        <v>31</v>
      </c>
      <c r="G19" s="16" t="s">
        <v>256</v>
      </c>
      <c r="H19" s="14" t="s">
        <v>295</v>
      </c>
    </row>
    <row r="20" spans="1:8" x14ac:dyDescent="0.25">
      <c r="A20" s="9" t="str">
        <f t="shared" si="2"/>
        <v>01 MASTER REQUEST - SLAVE POLL</v>
      </c>
      <c r="B20" t="s">
        <v>122</v>
      </c>
      <c r="C20" s="7" t="str">
        <f t="shared" si="3"/>
        <v>10</v>
      </c>
      <c r="D20" s="8" t="s">
        <v>109</v>
      </c>
      <c r="E20" s="7" t="str">
        <f t="shared" si="4"/>
        <v>31</v>
      </c>
      <c r="G20" s="16" t="s">
        <v>257</v>
      </c>
      <c r="H20" s="14" t="s">
        <v>296</v>
      </c>
    </row>
    <row r="21" spans="1:8" x14ac:dyDescent="0.25">
      <c r="A21" s="9" t="str">
        <f t="shared" si="2"/>
        <v>95 MAGAZINE INFO - CD1 NO, CD2 NO, CD3 NO, CD4 NO, CD5 NO, CD6 NO</v>
      </c>
      <c r="B21" t="s">
        <v>170</v>
      </c>
      <c r="C21" s="7" t="str">
        <f t="shared" si="3"/>
        <v>31</v>
      </c>
      <c r="D21" s="8" t="s">
        <v>109</v>
      </c>
      <c r="E21" s="7" t="str">
        <f t="shared" si="4"/>
        <v>10</v>
      </c>
      <c r="G21" s="16" t="s">
        <v>258</v>
      </c>
      <c r="H21" s="14" t="s">
        <v>297</v>
      </c>
    </row>
    <row r="22" spans="1:8" x14ac:dyDescent="0.25">
      <c r="A22" s="9" t="str">
        <f t="shared" si="2"/>
        <v>01 MASTER REQUEST - SLAVE POLL</v>
      </c>
      <c r="B22" t="s">
        <v>122</v>
      </c>
      <c r="C22" s="7" t="str">
        <f t="shared" si="3"/>
        <v>10</v>
      </c>
      <c r="D22" s="8" t="s">
        <v>109</v>
      </c>
      <c r="E22" s="7" t="str">
        <f t="shared" si="4"/>
        <v>31</v>
      </c>
      <c r="G22" s="16" t="s">
        <v>259</v>
      </c>
      <c r="H22" s="14" t="s">
        <v>298</v>
      </c>
    </row>
    <row r="23" spans="1:8" x14ac:dyDescent="0.25">
      <c r="A23" s="9" t="str">
        <f t="shared" si="2"/>
        <v>97 DISC INFO - TRACKS: 20, MINS: 79, SECS: 46, DISC: 1</v>
      </c>
      <c r="B23" t="s">
        <v>140</v>
      </c>
      <c r="C23" s="7" t="str">
        <f t="shared" si="3"/>
        <v>31</v>
      </c>
      <c r="D23" s="8" t="s">
        <v>109</v>
      </c>
      <c r="E23" s="7" t="str">
        <f t="shared" si="4"/>
        <v>10</v>
      </c>
      <c r="G23" s="16" t="s">
        <v>260</v>
      </c>
      <c r="H23" s="14" t="s">
        <v>299</v>
      </c>
    </row>
    <row r="24" spans="1:8" x14ac:dyDescent="0.25">
      <c r="A24" s="9" t="str">
        <f t="shared" si="2"/>
        <v>84 REQUEST MORE TEXT FIELDS - SEND MAGAZINE INFO</v>
      </c>
      <c r="B24" t="s">
        <v>125</v>
      </c>
      <c r="C24" s="7" t="str">
        <f t="shared" si="3"/>
        <v>10</v>
      </c>
      <c r="D24" s="8" t="s">
        <v>109</v>
      </c>
      <c r="E24" s="7" t="str">
        <f t="shared" si="4"/>
        <v>31</v>
      </c>
      <c r="G24" s="16" t="s">
        <v>261</v>
      </c>
      <c r="H24" s="14" t="s">
        <v>300</v>
      </c>
    </row>
    <row r="25" spans="1:8" x14ac:dyDescent="0.25">
      <c r="A25" s="9" t="str">
        <f t="shared" si="2"/>
        <v>01 MASTER REQUEST - TIME POLL</v>
      </c>
      <c r="B25" t="s">
        <v>126</v>
      </c>
      <c r="C25" s="7" t="str">
        <f t="shared" si="3"/>
        <v>10</v>
      </c>
      <c r="D25" s="8" t="s">
        <v>109</v>
      </c>
      <c r="E25" s="7" t="str">
        <f t="shared" si="4"/>
        <v>31</v>
      </c>
      <c r="G25" s="16" t="s">
        <v>262</v>
      </c>
      <c r="H25" s="14" t="s">
        <v>301</v>
      </c>
    </row>
    <row r="26" spans="1:8" x14ac:dyDescent="0.25">
      <c r="A26" s="9" t="str">
        <f t="shared" si="2"/>
        <v>00 STATUS - EJECTING</v>
      </c>
      <c r="B26" t="s">
        <v>169</v>
      </c>
      <c r="C26" s="7" t="str">
        <f t="shared" si="3"/>
        <v>31</v>
      </c>
      <c r="D26" s="8" t="s">
        <v>109</v>
      </c>
      <c r="E26" s="7" t="str">
        <f t="shared" si="4"/>
        <v>10</v>
      </c>
      <c r="G26" s="16" t="s">
        <v>263</v>
      </c>
      <c r="H26" s="14" t="s">
        <v>302</v>
      </c>
    </row>
    <row r="27" spans="1:8" x14ac:dyDescent="0.25">
      <c r="A27" s="9" t="str">
        <f t="shared" si="2"/>
        <v>84 REQUEST MORE TEXT FIELDS - SEND DISC INFO</v>
      </c>
      <c r="B27" t="s">
        <v>127</v>
      </c>
      <c r="C27" s="7" t="str">
        <f t="shared" si="3"/>
        <v>10</v>
      </c>
      <c r="D27" s="8" t="s">
        <v>109</v>
      </c>
      <c r="E27" s="7" t="str">
        <f t="shared" si="4"/>
        <v>31</v>
      </c>
      <c r="G27" s="16" t="s">
        <v>264</v>
      </c>
      <c r="H27" s="14" t="s">
        <v>303</v>
      </c>
    </row>
    <row r="28" spans="1:8" x14ac:dyDescent="0.25">
      <c r="A28" s="9" t="str">
        <f t="shared" si="2"/>
        <v>01 MASTER REQUEST - SLAVE POLL</v>
      </c>
      <c r="B28" t="s">
        <v>122</v>
      </c>
      <c r="C28" s="7" t="str">
        <f t="shared" si="3"/>
        <v>10</v>
      </c>
      <c r="D28" s="8" t="s">
        <v>109</v>
      </c>
      <c r="E28" s="7" t="str">
        <f t="shared" si="4"/>
        <v>31</v>
      </c>
      <c r="G28" s="16" t="s">
        <v>265</v>
      </c>
      <c r="H28" s="14" t="s">
        <v>304</v>
      </c>
    </row>
    <row r="29" spans="1:8" x14ac:dyDescent="0.25">
      <c r="A29" s="9" t="str">
        <f t="shared" si="2"/>
        <v>95 MAGAZINE INFO - CD1 NO, CD2 NO, CD3 NO, CD4 NO, CD5 NO, CD6 NO</v>
      </c>
      <c r="B29" t="s">
        <v>170</v>
      </c>
      <c r="C29" s="7" t="str">
        <f t="shared" si="3"/>
        <v>31</v>
      </c>
      <c r="D29" s="8" t="s">
        <v>109</v>
      </c>
      <c r="E29" s="7" t="str">
        <f t="shared" si="4"/>
        <v>10</v>
      </c>
      <c r="G29" s="16" t="s">
        <v>266</v>
      </c>
      <c r="H29" s="14" t="s">
        <v>305</v>
      </c>
    </row>
    <row r="30" spans="1:8" x14ac:dyDescent="0.25">
      <c r="A30" s="9" t="str">
        <f t="shared" si="2"/>
        <v>01 MASTER REQUEST - SLAVE POLL</v>
      </c>
      <c r="B30" t="s">
        <v>122</v>
      </c>
      <c r="C30" s="7" t="str">
        <f t="shared" si="3"/>
        <v>10</v>
      </c>
      <c r="D30" s="8" t="s">
        <v>109</v>
      </c>
      <c r="E30" s="7" t="str">
        <f t="shared" si="4"/>
        <v>31</v>
      </c>
      <c r="G30" s="16" t="s">
        <v>267</v>
      </c>
      <c r="H30" s="14" t="s">
        <v>306</v>
      </c>
    </row>
    <row r="31" spans="1:8" x14ac:dyDescent="0.25">
      <c r="A31" s="9" t="str">
        <f t="shared" si="2"/>
        <v>97 DISC INFO - TRACKS: 20, MINS: 79, SECS: 46, DISC: 1</v>
      </c>
      <c r="B31" t="s">
        <v>140</v>
      </c>
      <c r="C31" s="7" t="str">
        <f t="shared" si="3"/>
        <v>31</v>
      </c>
      <c r="D31" s="8" t="s">
        <v>109</v>
      </c>
      <c r="E31" s="7" t="str">
        <f t="shared" si="4"/>
        <v>10</v>
      </c>
      <c r="G31" s="16" t="s">
        <v>268</v>
      </c>
      <c r="H31" s="14" t="s">
        <v>307</v>
      </c>
    </row>
    <row r="32" spans="1:8" x14ac:dyDescent="0.25">
      <c r="A32" s="9" t="str">
        <f t="shared" si="2"/>
        <v>01 MASTER REQUEST - SLAVE POLL</v>
      </c>
      <c r="B32" t="s">
        <v>122</v>
      </c>
      <c r="C32" s="7" t="str">
        <f t="shared" si="3"/>
        <v>10</v>
      </c>
      <c r="D32" s="8" t="s">
        <v>109</v>
      </c>
      <c r="E32" s="7" t="str">
        <f t="shared" si="4"/>
        <v>31</v>
      </c>
      <c r="G32" s="16" t="s">
        <v>269</v>
      </c>
      <c r="H32" s="14" t="s">
        <v>270</v>
      </c>
    </row>
    <row r="33" spans="1:8" x14ac:dyDescent="0.25">
      <c r="A33" s="9" t="str">
        <f t="shared" si="2"/>
        <v>94 Configuration change - Mute OFF, Loudness OFF, Phone unmuted</v>
      </c>
      <c r="B33" t="s">
        <v>171</v>
      </c>
      <c r="C33" s="7" t="str">
        <f t="shared" si="3"/>
        <v>31</v>
      </c>
      <c r="D33" s="8" t="s">
        <v>109</v>
      </c>
      <c r="E33" s="7" t="str">
        <f t="shared" si="4"/>
        <v>70</v>
      </c>
      <c r="G33" s="16" t="s">
        <v>271</v>
      </c>
      <c r="H33" s="14" t="s">
        <v>272</v>
      </c>
    </row>
    <row r="34" spans="1:8" x14ac:dyDescent="0.25">
      <c r="A34" s="9" t="str">
        <f t="shared" si="2"/>
        <v>01 MASTER REQUEST - SLAVE POLL</v>
      </c>
      <c r="B34" t="s">
        <v>122</v>
      </c>
      <c r="C34" s="7" t="str">
        <f t="shared" si="3"/>
        <v>10</v>
      </c>
      <c r="D34" s="8" t="s">
        <v>109</v>
      </c>
      <c r="E34" s="7" t="str">
        <f t="shared" si="4"/>
        <v>31</v>
      </c>
      <c r="G34" s="16" t="s">
        <v>273</v>
      </c>
      <c r="H34" s="14" t="s">
        <v>308</v>
      </c>
    </row>
    <row r="35" spans="1:8" x14ac:dyDescent="0.25">
      <c r="A35" s="9" t="str">
        <f t="shared" si="2"/>
        <v>00 STATUS - CHANGING CD</v>
      </c>
      <c r="B35" t="s">
        <v>151</v>
      </c>
      <c r="C35" s="7" t="str">
        <f t="shared" si="3"/>
        <v>31</v>
      </c>
      <c r="D35" s="8" t="s">
        <v>109</v>
      </c>
      <c r="E35" s="7" t="str">
        <f t="shared" si="4"/>
        <v>10</v>
      </c>
      <c r="G35" s="16" t="s">
        <v>274</v>
      </c>
      <c r="H35" s="14" t="s">
        <v>309</v>
      </c>
    </row>
    <row r="36" spans="1:8" x14ac:dyDescent="0.25">
      <c r="A36" s="9" t="str">
        <f t="shared" si="2"/>
        <v>87 GO IDLE?</v>
      </c>
      <c r="B36" t="s">
        <v>130</v>
      </c>
      <c r="C36" s="7" t="str">
        <f t="shared" si="3"/>
        <v>10</v>
      </c>
      <c r="D36" s="8" t="s">
        <v>109</v>
      </c>
      <c r="E36" s="7" t="str">
        <f t="shared" si="4"/>
        <v>18</v>
      </c>
      <c r="G36" s="16" t="s">
        <v>275</v>
      </c>
      <c r="H36" s="14" t="s">
        <v>310</v>
      </c>
    </row>
    <row r="37" spans="1:8" x14ac:dyDescent="0.25">
      <c r="A37" s="9" t="str">
        <f t="shared" si="2"/>
        <v>08 KEY RELEASED</v>
      </c>
      <c r="B37" t="s">
        <v>131</v>
      </c>
      <c r="C37" s="7" t="str">
        <f t="shared" si="3"/>
        <v>11</v>
      </c>
      <c r="D37" s="8" t="s">
        <v>109</v>
      </c>
      <c r="E37" s="7" t="str">
        <f t="shared" si="4"/>
        <v>18</v>
      </c>
      <c r="G37" s="16" t="s">
        <v>276</v>
      </c>
      <c r="H37" s="14" t="s">
        <v>311</v>
      </c>
    </row>
    <row r="38" spans="1:8" x14ac:dyDescent="0.25">
      <c r="A38" s="9" t="str">
        <f t="shared" si="2"/>
        <v>84 REQUEST MORE TEXT FIELDS - SEND MAGAZINE INFO</v>
      </c>
      <c r="B38" t="s">
        <v>125</v>
      </c>
      <c r="C38" s="7" t="str">
        <f t="shared" si="3"/>
        <v>10</v>
      </c>
      <c r="D38" s="8" t="s">
        <v>109</v>
      </c>
      <c r="E38" s="7" t="str">
        <f t="shared" si="4"/>
        <v>31</v>
      </c>
      <c r="G38" s="16" t="s">
        <v>277</v>
      </c>
      <c r="H38" s="14" t="s">
        <v>278</v>
      </c>
    </row>
    <row r="39" spans="1:8" x14ac:dyDescent="0.25">
      <c r="A39" s="9" t="str">
        <f t="shared" si="2"/>
        <v>01 MASTER REQUEST - TIME POLL</v>
      </c>
      <c r="B39" t="s">
        <v>126</v>
      </c>
      <c r="C39" s="7" t="str">
        <f t="shared" si="3"/>
        <v>10</v>
      </c>
      <c r="D39" s="8" t="s">
        <v>109</v>
      </c>
      <c r="E39" s="7" t="str">
        <f t="shared" si="4"/>
        <v>31</v>
      </c>
      <c r="G39" s="16" t="s">
        <v>279</v>
      </c>
      <c r="H39" s="14" t="s">
        <v>312</v>
      </c>
    </row>
    <row r="40" spans="1:8" x14ac:dyDescent="0.25">
      <c r="A40" s="9" t="str">
        <f t="shared" si="2"/>
        <v>00 STATUS - IDLE</v>
      </c>
      <c r="B40" t="s">
        <v>132</v>
      </c>
      <c r="C40" s="7" t="str">
        <f t="shared" si="3"/>
        <v>31</v>
      </c>
      <c r="D40" s="8" t="s">
        <v>109</v>
      </c>
      <c r="E40" s="7" t="str">
        <f t="shared" si="4"/>
        <v>10</v>
      </c>
      <c r="G40" s="16" t="s">
        <v>280</v>
      </c>
      <c r="H40" s="14" t="s">
        <v>188</v>
      </c>
    </row>
    <row r="41" spans="1:8" x14ac:dyDescent="0.25">
      <c r="A41" s="9" t="str">
        <f t="shared" si="2"/>
        <v>84 REQUEST MORE TEXT FIELDS - SEND DISC INFO</v>
      </c>
      <c r="B41" t="s">
        <v>127</v>
      </c>
      <c r="C41" s="7" t="str">
        <f t="shared" si="3"/>
        <v>10</v>
      </c>
      <c r="D41" s="8" t="s">
        <v>109</v>
      </c>
      <c r="E41" s="7" t="str">
        <f t="shared" si="4"/>
        <v>31</v>
      </c>
      <c r="G41" s="16" t="s">
        <v>281</v>
      </c>
      <c r="H41" s="14" t="s">
        <v>282</v>
      </c>
    </row>
    <row r="42" spans="1:8" x14ac:dyDescent="0.25">
      <c r="A42" s="9" t="str">
        <f t="shared" si="2"/>
        <v>01 MASTER REQUEST - SLAVE POLL</v>
      </c>
      <c r="B42" t="s">
        <v>122</v>
      </c>
      <c r="C42" s="7" t="str">
        <f t="shared" si="3"/>
        <v>10</v>
      </c>
      <c r="D42" s="8" t="s">
        <v>109</v>
      </c>
      <c r="E42" s="7" t="str">
        <f t="shared" si="4"/>
        <v>31</v>
      </c>
      <c r="G42" s="16" t="s">
        <v>283</v>
      </c>
      <c r="H42" s="14" t="s">
        <v>284</v>
      </c>
    </row>
    <row r="43" spans="1:8" ht="15.75" thickBot="1" x14ac:dyDescent="0.3">
      <c r="A43" s="9" t="str">
        <f t="shared" si="2"/>
        <v>95 MAGAZINE INFO - CD1 NO, CD2 NO, CD3 NO, CD4 NO, CD5 NO, CD6 NO</v>
      </c>
      <c r="B43" t="s">
        <v>170</v>
      </c>
      <c r="C43" s="7" t="str">
        <f t="shared" si="3"/>
        <v>31</v>
      </c>
      <c r="D43" s="8" t="s">
        <v>109</v>
      </c>
      <c r="E43" s="7" t="str">
        <f t="shared" si="4"/>
        <v>10</v>
      </c>
      <c r="G43" s="17" t="s">
        <v>285</v>
      </c>
      <c r="H43" s="15" t="s">
        <v>286</v>
      </c>
    </row>
    <row r="44" spans="1:8" x14ac:dyDescent="0.25">
      <c r="A44" s="9" t="str">
        <f t="shared" si="2"/>
        <v>01 MASTER REQUEST - SLAVE POLL</v>
      </c>
      <c r="B44" t="s">
        <v>122</v>
      </c>
      <c r="C44" s="7" t="str">
        <f t="shared" si="3"/>
        <v>10</v>
      </c>
      <c r="D44" s="8" t="s">
        <v>109</v>
      </c>
      <c r="E44" s="7" t="str">
        <f t="shared" si="4"/>
        <v>31</v>
      </c>
    </row>
    <row r="45" spans="1:8" x14ac:dyDescent="0.25">
      <c r="A45" s="9" t="str">
        <f t="shared" si="2"/>
        <v xml:space="preserve">97 DISC INFO - TRACKS: , MINS: , SECS: , DISC: </v>
      </c>
      <c r="B45" t="s">
        <v>172</v>
      </c>
      <c r="C45" s="7" t="str">
        <f t="shared" si="3"/>
        <v>31</v>
      </c>
      <c r="D45" s="8" t="s">
        <v>109</v>
      </c>
      <c r="E45" s="7" t="str">
        <f t="shared" si="4"/>
        <v>10</v>
      </c>
    </row>
    <row r="46" spans="1:8" x14ac:dyDescent="0.25">
      <c r="A46" s="9" t="str">
        <f t="shared" si="2"/>
        <v>84 REQUEST MORE TEXT FIELDS - SEND MAGAZINE INFO</v>
      </c>
      <c r="B46" t="s">
        <v>125</v>
      </c>
      <c r="C46" s="7" t="str">
        <f t="shared" si="3"/>
        <v>10</v>
      </c>
      <c r="D46" s="8" t="s">
        <v>109</v>
      </c>
      <c r="E46" s="7" t="str">
        <f t="shared" si="4"/>
        <v>31</v>
      </c>
    </row>
    <row r="47" spans="1:8" x14ac:dyDescent="0.25">
      <c r="A47" s="9" t="str">
        <f t="shared" si="2"/>
        <v>01 MASTER REQUEST - TIME POLL</v>
      </c>
      <c r="B47" t="s">
        <v>126</v>
      </c>
      <c r="C47" s="7" t="str">
        <f t="shared" si="3"/>
        <v>10</v>
      </c>
      <c r="D47" s="8" t="s">
        <v>109</v>
      </c>
      <c r="E47" s="7" t="str">
        <f t="shared" si="4"/>
        <v>31</v>
      </c>
    </row>
    <row r="48" spans="1:8" x14ac:dyDescent="0.25">
      <c r="A48" s="9" t="str">
        <f t="shared" si="2"/>
        <v>00 STATUS - IDLE</v>
      </c>
      <c r="B48" t="s">
        <v>132</v>
      </c>
      <c r="C48" s="7" t="str">
        <f t="shared" si="3"/>
        <v>31</v>
      </c>
      <c r="D48" s="8" t="s">
        <v>109</v>
      </c>
      <c r="E48" s="7" t="str">
        <f t="shared" si="4"/>
        <v>10</v>
      </c>
    </row>
    <row r="49" spans="1:5" x14ac:dyDescent="0.25">
      <c r="A49" s="9" t="str">
        <f t="shared" si="2"/>
        <v>84 REQUEST MORE TEXT FIELDS - SEND DISC INFO</v>
      </c>
      <c r="B49" t="s">
        <v>127</v>
      </c>
      <c r="C49" s="7" t="str">
        <f t="shared" si="3"/>
        <v>10</v>
      </c>
      <c r="D49" s="8" t="s">
        <v>109</v>
      </c>
      <c r="E49" s="7" t="str">
        <f t="shared" si="4"/>
        <v>31</v>
      </c>
    </row>
    <row r="50" spans="1:5" x14ac:dyDescent="0.25">
      <c r="A50" s="9" t="str">
        <f t="shared" si="2"/>
        <v>01 MASTER REQUEST - SLAVE POLL</v>
      </c>
      <c r="B50" t="s">
        <v>122</v>
      </c>
      <c r="C50" s="7" t="str">
        <f t="shared" si="3"/>
        <v>10</v>
      </c>
      <c r="D50" s="8" t="s">
        <v>109</v>
      </c>
      <c r="E50" s="7" t="str">
        <f t="shared" si="4"/>
        <v>31</v>
      </c>
    </row>
    <row r="51" spans="1:5" x14ac:dyDescent="0.25">
      <c r="A51" s="9" t="str">
        <f t="shared" si="2"/>
        <v>95 MAGAZINE INFO - CD1 NO, CD2 NO, CD3 NO, CD4 NO, CD5 NO, CD6 NO</v>
      </c>
      <c r="B51" t="s">
        <v>170</v>
      </c>
      <c r="C51" s="7" t="str">
        <f t="shared" si="3"/>
        <v>31</v>
      </c>
      <c r="D51" s="8" t="s">
        <v>109</v>
      </c>
      <c r="E51" s="7" t="str">
        <f t="shared" si="4"/>
        <v>10</v>
      </c>
    </row>
    <row r="52" spans="1:5" x14ac:dyDescent="0.25">
      <c r="A52" s="9" t="str">
        <f t="shared" si="2"/>
        <v>01 MASTER REQUEST - SLAVE POLL</v>
      </c>
      <c r="B52" t="s">
        <v>122</v>
      </c>
      <c r="C52" s="7" t="str">
        <f t="shared" si="3"/>
        <v>10</v>
      </c>
      <c r="D52" s="8" t="s">
        <v>109</v>
      </c>
      <c r="E52" s="7" t="str">
        <f t="shared" si="4"/>
        <v>31</v>
      </c>
    </row>
    <row r="53" spans="1:5" x14ac:dyDescent="0.25">
      <c r="A53" s="9" t="str">
        <f t="shared" si="2"/>
        <v>97 DISC INFO - TRACKS: 20, MINS: 79, SECS: 46, DISC: 1</v>
      </c>
      <c r="B53" t="s">
        <v>140</v>
      </c>
      <c r="C53" s="7" t="str">
        <f t="shared" si="3"/>
        <v>31</v>
      </c>
      <c r="D53" s="8" t="s">
        <v>109</v>
      </c>
      <c r="E53" s="7" t="str">
        <f t="shared" si="4"/>
        <v>10</v>
      </c>
    </row>
    <row r="54" spans="1:5" x14ac:dyDescent="0.25">
      <c r="A54" s="9" t="str">
        <f t="shared" si="2"/>
        <v>01 MASTER REQUEST - SLAVE POLL</v>
      </c>
      <c r="B54" t="s">
        <v>122</v>
      </c>
      <c r="C54" s="7" t="str">
        <f t="shared" si="3"/>
        <v>10</v>
      </c>
      <c r="D54" s="8" t="s">
        <v>109</v>
      </c>
      <c r="E54" s="7" t="str">
        <f t="shared" si="4"/>
        <v>31</v>
      </c>
    </row>
    <row r="55" spans="1:5" x14ac:dyDescent="0.25">
      <c r="A55" s="9" t="str">
        <f t="shared" si="2"/>
        <v>00 STATUS - IDLE</v>
      </c>
      <c r="B55" t="s">
        <v>132</v>
      </c>
      <c r="C55" s="7" t="str">
        <f t="shared" si="3"/>
        <v>31</v>
      </c>
      <c r="D55" s="8" t="s">
        <v>109</v>
      </c>
      <c r="E55" s="7" t="str">
        <f t="shared" si="4"/>
        <v>10</v>
      </c>
    </row>
    <row r="56" spans="1:5" x14ac:dyDescent="0.25">
      <c r="A56" s="9" t="str">
        <f t="shared" si="2"/>
        <v>84 REQUEST MORE TEXT FIELDS - SEND MAGAZINE INFO</v>
      </c>
      <c r="B56" t="s">
        <v>125</v>
      </c>
      <c r="C56" s="7" t="str">
        <f t="shared" si="3"/>
        <v>10</v>
      </c>
      <c r="D56" s="8" t="s">
        <v>109</v>
      </c>
      <c r="E56" s="7" t="str">
        <f t="shared" si="4"/>
        <v>31</v>
      </c>
    </row>
    <row r="57" spans="1:5" x14ac:dyDescent="0.25">
      <c r="A57" s="9" t="str">
        <f t="shared" si="2"/>
        <v>01 MASTER REQUEST - TIME POLL</v>
      </c>
      <c r="B57" t="s">
        <v>126</v>
      </c>
      <c r="C57" s="7" t="str">
        <f t="shared" si="3"/>
        <v>10</v>
      </c>
      <c r="D57" s="8" t="s">
        <v>109</v>
      </c>
      <c r="E57" s="7" t="str">
        <f t="shared" si="4"/>
        <v>31</v>
      </c>
    </row>
    <row r="58" spans="1:5" x14ac:dyDescent="0.25">
      <c r="A58" s="9" t="str">
        <f t="shared" si="2"/>
        <v>00 STATUS - IDLE</v>
      </c>
      <c r="B58" t="s">
        <v>132</v>
      </c>
      <c r="C58" s="7" t="str">
        <f t="shared" si="3"/>
        <v>31</v>
      </c>
      <c r="D58" s="8" t="s">
        <v>109</v>
      </c>
      <c r="E58" s="7" t="str">
        <f t="shared" si="4"/>
        <v>10</v>
      </c>
    </row>
    <row r="59" spans="1:5" x14ac:dyDescent="0.25">
      <c r="A59" s="9" t="str">
        <f t="shared" si="2"/>
        <v>84 REQUEST MORE TEXT FIELDS - SEND DISC INFO</v>
      </c>
      <c r="B59" t="s">
        <v>127</v>
      </c>
      <c r="C59" s="7" t="str">
        <f t="shared" si="3"/>
        <v>10</v>
      </c>
      <c r="D59" s="8" t="s">
        <v>109</v>
      </c>
      <c r="E59" s="7" t="str">
        <f t="shared" si="4"/>
        <v>31</v>
      </c>
    </row>
    <row r="60" spans="1:5" x14ac:dyDescent="0.25">
      <c r="A60" s="9" t="str">
        <f t="shared" si="2"/>
        <v>01 MASTER REQUEST - SLAVE POLL</v>
      </c>
      <c r="B60" t="s">
        <v>122</v>
      </c>
      <c r="C60" s="7" t="str">
        <f t="shared" si="3"/>
        <v>10</v>
      </c>
      <c r="D60" s="8" t="s">
        <v>109</v>
      </c>
      <c r="E60" s="7" t="str">
        <f t="shared" si="4"/>
        <v>31</v>
      </c>
    </row>
    <row r="61" spans="1:5" x14ac:dyDescent="0.25">
      <c r="A61" s="9" t="str">
        <f t="shared" si="2"/>
        <v>95 MAGAZINE INFO - CD1 NO, CD2 NO, CD3 NO, CD4 NO, CD5 NO, CD6 NO</v>
      </c>
      <c r="B61" t="s">
        <v>170</v>
      </c>
      <c r="C61" s="7" t="str">
        <f t="shared" si="3"/>
        <v>31</v>
      </c>
      <c r="D61" s="8" t="s">
        <v>109</v>
      </c>
      <c r="E61" s="7" t="str">
        <f t="shared" si="4"/>
        <v>10</v>
      </c>
    </row>
    <row r="62" spans="1:5" x14ac:dyDescent="0.25">
      <c r="A62" s="9" t="str">
        <f t="shared" si="2"/>
        <v>01 MASTER REQUEST - SLAVE POLL</v>
      </c>
      <c r="B62" t="s">
        <v>122</v>
      </c>
      <c r="C62" s="7" t="str">
        <f t="shared" si="3"/>
        <v>10</v>
      </c>
      <c r="D62" s="8" t="s">
        <v>109</v>
      </c>
      <c r="E62" s="7" t="str">
        <f t="shared" si="4"/>
        <v>31</v>
      </c>
    </row>
    <row r="63" spans="1:5" x14ac:dyDescent="0.25">
      <c r="A63" s="9" t="str">
        <f t="shared" si="2"/>
        <v>97 DISC INFO - TRACKS: 20, MINS: 79, SECS: 46, DISC: 1</v>
      </c>
      <c r="B63" t="s">
        <v>140</v>
      </c>
      <c r="C63" s="7" t="str">
        <f t="shared" si="3"/>
        <v>31</v>
      </c>
      <c r="D63" s="8" t="s">
        <v>109</v>
      </c>
      <c r="E63" s="7" t="str">
        <f t="shared" si="4"/>
        <v>10</v>
      </c>
    </row>
    <row r="64" spans="1:5" x14ac:dyDescent="0.25">
      <c r="A64" s="9" t="str">
        <f t="shared" si="2"/>
        <v>84 REQUEST MORE TEXT FIELDS - SEND MAGAZINE INFO</v>
      </c>
      <c r="B64" t="s">
        <v>125</v>
      </c>
      <c r="C64" s="7" t="str">
        <f t="shared" si="3"/>
        <v>10</v>
      </c>
      <c r="D64" s="8" t="s">
        <v>109</v>
      </c>
      <c r="E64" s="7" t="str">
        <f t="shared" si="4"/>
        <v>31</v>
      </c>
    </row>
    <row r="65" spans="1:5" x14ac:dyDescent="0.25">
      <c r="A65" s="9" t="str">
        <f t="shared" si="2"/>
        <v>01 MASTER REQUEST - TIME POLL</v>
      </c>
      <c r="B65" t="s">
        <v>126</v>
      </c>
      <c r="C65" s="7" t="str">
        <f t="shared" si="3"/>
        <v>10</v>
      </c>
      <c r="D65" s="8" t="s">
        <v>109</v>
      </c>
      <c r="E65" s="7" t="str">
        <f t="shared" si="4"/>
        <v>31</v>
      </c>
    </row>
    <row r="66" spans="1:5" x14ac:dyDescent="0.25">
      <c r="A66" s="9" t="str">
        <f t="shared" si="2"/>
        <v>00 STATUS - IDLE</v>
      </c>
      <c r="B66" t="s">
        <v>132</v>
      </c>
      <c r="C66" s="7" t="str">
        <f t="shared" si="3"/>
        <v>31</v>
      </c>
      <c r="D66" s="8" t="s">
        <v>109</v>
      </c>
      <c r="E66" s="7" t="str">
        <f t="shared" si="4"/>
        <v>10</v>
      </c>
    </row>
  </sheetData>
  <conditionalFormatting sqref="A2:A66">
    <cfRule type="expression" dxfId="81" priority="7">
      <formula>AND(EXACT($A$1,"01"),EXACT(MID(B2,7,5),"01 02"))</formula>
    </cfRule>
    <cfRule type="expression" dxfId="80" priority="8">
      <formula>AND(EXACT($A$1,"01"),EXACT(MID(B2,7,5),"01 00"))</formula>
    </cfRule>
    <cfRule type="expression" dxfId="73" priority="9">
      <formula>EXACT(UPPER($A$1),UPPER(MID(B2,7,2)))</formula>
    </cfRule>
  </conditionalFormatting>
  <conditionalFormatting sqref="B2:B66">
    <cfRule type="expression" dxfId="79" priority="10">
      <formula>EXACT(MID(B2,4,2),"31")</formula>
    </cfRule>
    <cfRule type="expression" dxfId="78" priority="11">
      <formula>EXACT(MID(B2,4,2),"30")</formula>
    </cfRule>
    <cfRule type="expression" dxfId="77" priority="12">
      <formula>EXACT(MID(B2,4,2),"10")</formula>
    </cfRule>
    <cfRule type="expression" dxfId="76" priority="13">
      <formula>EXACT(MID(B2,4,2),"11")</formula>
    </cfRule>
  </conditionalFormatting>
  <conditionalFormatting sqref="C2:C66 E2:E66">
    <cfRule type="expression" dxfId="75" priority="2">
      <formula>GESTEP(HEX2DEC($E2),70)</formula>
    </cfRule>
  </conditionalFormatting>
  <conditionalFormatting sqref="D2:D66">
    <cfRule type="expression" dxfId="74" priority="1">
      <formula>GESTEP(HEX2DEC($E2),70)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Refresh_button_Click">
                <anchor mov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752475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8"/>
  <dimension ref="A1:L495"/>
  <sheetViews>
    <sheetView workbookViewId="0"/>
  </sheetViews>
  <sheetFormatPr baseColWidth="10" defaultRowHeight="15" x14ac:dyDescent="0.25"/>
  <cols>
    <col min="1" max="1" width="80.7109375" customWidth="1"/>
    <col min="2" max="2" width="38.7109375" customWidth="1"/>
    <col min="3" max="5" width="3.7109375" customWidth="1"/>
    <col min="7" max="7" width="20.7109375" customWidth="1"/>
    <col min="8" max="8" width="6.7109375" customWidth="1"/>
  </cols>
  <sheetData>
    <row r="1" spans="1:12" x14ac:dyDescent="0.25">
      <c r="A1" s="11" t="s">
        <v>316</v>
      </c>
      <c r="B1" s="10" t="s">
        <v>184</v>
      </c>
      <c r="C1" t="s">
        <v>185</v>
      </c>
      <c r="E1" t="s">
        <v>186</v>
      </c>
      <c r="G1" s="19" t="s">
        <v>315</v>
      </c>
      <c r="H1" s="19"/>
      <c r="I1" s="19"/>
      <c r="J1" s="18"/>
      <c r="K1" s="18"/>
      <c r="L1" s="18"/>
    </row>
    <row r="2" spans="1:12" x14ac:dyDescent="0.25">
      <c r="A2" s="9" t="str">
        <f>ParseUnilink(B2)</f>
        <v>84 REQUEST MORE TEXT FIELDS - SEND MAGAZINE INFO</v>
      </c>
      <c r="B2" t="s">
        <v>125</v>
      </c>
      <c r="C2" s="7" t="str">
        <f t="shared" ref="C2" si="0">MID(B2,4,2)</f>
        <v>10</v>
      </c>
      <c r="D2" s="8" t="s">
        <v>109</v>
      </c>
      <c r="E2" s="7" t="str">
        <f t="shared" ref="E2" si="1">MID(B2,1,2)</f>
        <v>31</v>
      </c>
      <c r="G2" s="19" t="s">
        <v>108</v>
      </c>
      <c r="H2" s="18"/>
      <c r="I2" s="18"/>
      <c r="J2" s="18"/>
      <c r="K2" s="18"/>
      <c r="L2" s="18"/>
    </row>
    <row r="3" spans="1:12" x14ac:dyDescent="0.25">
      <c r="A3" s="9" t="str">
        <f t="shared" ref="A3:A66" si="2">ParseUnilink(B3)</f>
        <v>01 MASTER REQUEST - TIME POLL</v>
      </c>
      <c r="B3" t="s">
        <v>126</v>
      </c>
      <c r="C3" s="7" t="str">
        <f t="shared" ref="C3:C66" si="3">MID(B3,4,2)</f>
        <v>10</v>
      </c>
      <c r="D3" s="8" t="s">
        <v>109</v>
      </c>
      <c r="E3" s="7" t="str">
        <f t="shared" ref="E3:E66" si="4">MID(B3,1,2)</f>
        <v>31</v>
      </c>
    </row>
    <row r="4" spans="1:12" ht="15.75" thickBot="1" x14ac:dyDescent="0.3">
      <c r="A4" s="9" t="str">
        <f t="shared" si="2"/>
        <v>00 STATUS - IDLE</v>
      </c>
      <c r="B4" t="s">
        <v>132</v>
      </c>
      <c r="C4" s="7" t="str">
        <f t="shared" si="3"/>
        <v>31</v>
      </c>
      <c r="D4" s="8" t="s">
        <v>109</v>
      </c>
      <c r="E4" s="7" t="str">
        <f t="shared" si="4"/>
        <v>10</v>
      </c>
    </row>
    <row r="5" spans="1:12" ht="15.75" thickBot="1" x14ac:dyDescent="0.3">
      <c r="A5" s="9" t="str">
        <f t="shared" si="2"/>
        <v>84 REQUEST MORE TEXT FIELDS - SEND DISC INFO</v>
      </c>
      <c r="B5" t="s">
        <v>127</v>
      </c>
      <c r="C5" s="7" t="str">
        <f t="shared" si="3"/>
        <v>10</v>
      </c>
      <c r="D5" s="8" t="s">
        <v>109</v>
      </c>
      <c r="E5" s="7" t="str">
        <f t="shared" si="4"/>
        <v>31</v>
      </c>
      <c r="G5" s="12" t="s">
        <v>314</v>
      </c>
      <c r="H5" s="13" t="s">
        <v>313</v>
      </c>
    </row>
    <row r="6" spans="1:12" x14ac:dyDescent="0.25">
      <c r="A6" s="9" t="str">
        <f t="shared" si="2"/>
        <v>01 MASTER REQUEST - SLAVE POLL</v>
      </c>
      <c r="B6" t="s">
        <v>122</v>
      </c>
      <c r="C6" s="7" t="str">
        <f t="shared" si="3"/>
        <v>10</v>
      </c>
      <c r="D6" s="8" t="s">
        <v>109</v>
      </c>
      <c r="E6" s="7" t="str">
        <f t="shared" si="4"/>
        <v>31</v>
      </c>
      <c r="G6" s="16" t="s">
        <v>243</v>
      </c>
      <c r="H6" s="14" t="s">
        <v>148</v>
      </c>
    </row>
    <row r="7" spans="1:12" x14ac:dyDescent="0.25">
      <c r="A7" s="9" t="str">
        <f t="shared" si="2"/>
        <v>95 MAGAZINE INFO - CD1 NO, CD2 NO, CD3 NO, CD4 NO, CD5 NO, CD6 NO</v>
      </c>
      <c r="B7" t="s">
        <v>170</v>
      </c>
      <c r="C7" s="7" t="str">
        <f t="shared" si="3"/>
        <v>31</v>
      </c>
      <c r="D7" s="8" t="s">
        <v>109</v>
      </c>
      <c r="E7" s="7" t="str">
        <f t="shared" si="4"/>
        <v>10</v>
      </c>
      <c r="G7" s="16" t="s">
        <v>244</v>
      </c>
      <c r="H7" s="14" t="s">
        <v>148</v>
      </c>
    </row>
    <row r="8" spans="1:12" x14ac:dyDescent="0.25">
      <c r="A8" s="9" t="str">
        <f t="shared" si="2"/>
        <v>01 MASTER REQUEST - SLAVE POLL</v>
      </c>
      <c r="B8" t="s">
        <v>122</v>
      </c>
      <c r="C8" s="7" t="str">
        <f t="shared" si="3"/>
        <v>10</v>
      </c>
      <c r="D8" s="8" t="s">
        <v>109</v>
      </c>
      <c r="E8" s="7" t="str">
        <f t="shared" si="4"/>
        <v>31</v>
      </c>
      <c r="G8" s="16" t="s">
        <v>245</v>
      </c>
      <c r="H8" s="14" t="s">
        <v>148</v>
      </c>
    </row>
    <row r="9" spans="1:12" x14ac:dyDescent="0.25">
      <c r="A9" s="9" t="str">
        <f t="shared" si="2"/>
        <v>97 DISC INFO - TRACKS: 20, MINS: 79, SECS: 46, DISC: 1</v>
      </c>
      <c r="B9" t="s">
        <v>140</v>
      </c>
      <c r="C9" s="7" t="str">
        <f t="shared" si="3"/>
        <v>31</v>
      </c>
      <c r="D9" s="8" t="s">
        <v>109</v>
      </c>
      <c r="E9" s="7" t="str">
        <f t="shared" si="4"/>
        <v>10</v>
      </c>
      <c r="G9" s="16" t="s">
        <v>246</v>
      </c>
      <c r="H9" s="14" t="s">
        <v>242</v>
      </c>
    </row>
    <row r="10" spans="1:12" x14ac:dyDescent="0.25">
      <c r="A10" s="9" t="str">
        <f t="shared" si="2"/>
        <v>84 REQUEST MORE TEXT FIELDS - SEND MAGAZINE INFO</v>
      </c>
      <c r="B10" t="s">
        <v>125</v>
      </c>
      <c r="C10" s="7" t="str">
        <f t="shared" si="3"/>
        <v>10</v>
      </c>
      <c r="D10" s="8" t="s">
        <v>109</v>
      </c>
      <c r="E10" s="7" t="str">
        <f t="shared" si="4"/>
        <v>31</v>
      </c>
      <c r="G10" s="16" t="s">
        <v>247</v>
      </c>
      <c r="H10" s="14" t="s">
        <v>287</v>
      </c>
    </row>
    <row r="11" spans="1:12" x14ac:dyDescent="0.25">
      <c r="A11" s="9" t="str">
        <f t="shared" si="2"/>
        <v>01 MASTER REQUEST - TIME POLL</v>
      </c>
      <c r="B11" t="s">
        <v>126</v>
      </c>
      <c r="C11" s="7" t="str">
        <f t="shared" si="3"/>
        <v>10</v>
      </c>
      <c r="D11" s="8" t="s">
        <v>109</v>
      </c>
      <c r="E11" s="7" t="str">
        <f t="shared" si="4"/>
        <v>31</v>
      </c>
      <c r="G11" s="16" t="s">
        <v>248</v>
      </c>
      <c r="H11" s="14" t="s">
        <v>287</v>
      </c>
    </row>
    <row r="12" spans="1:12" x14ac:dyDescent="0.25">
      <c r="A12" s="9" t="str">
        <f t="shared" si="2"/>
        <v>00 STATUS - IDLE</v>
      </c>
      <c r="B12" t="s">
        <v>132</v>
      </c>
      <c r="C12" s="7" t="str">
        <f t="shared" si="3"/>
        <v>31</v>
      </c>
      <c r="D12" s="8" t="s">
        <v>109</v>
      </c>
      <c r="E12" s="7" t="str">
        <f t="shared" si="4"/>
        <v>10</v>
      </c>
      <c r="G12" s="16" t="s">
        <v>249</v>
      </c>
      <c r="H12" s="14" t="s">
        <v>288</v>
      </c>
    </row>
    <row r="13" spans="1:12" x14ac:dyDescent="0.25">
      <c r="A13" s="9" t="str">
        <f t="shared" si="2"/>
        <v>84 REQUEST MORE TEXT FIELDS - SEND DISC INFO</v>
      </c>
      <c r="B13" t="s">
        <v>127</v>
      </c>
      <c r="C13" s="7" t="str">
        <f t="shared" si="3"/>
        <v>10</v>
      </c>
      <c r="D13" s="8" t="s">
        <v>109</v>
      </c>
      <c r="E13" s="7" t="str">
        <f t="shared" si="4"/>
        <v>31</v>
      </c>
      <c r="G13" s="16" t="s">
        <v>250</v>
      </c>
      <c r="H13" s="14" t="s">
        <v>289</v>
      </c>
    </row>
    <row r="14" spans="1:12" x14ac:dyDescent="0.25">
      <c r="A14" s="9" t="str">
        <f t="shared" si="2"/>
        <v>01 MASTER REQUEST - SLAVE POLL</v>
      </c>
      <c r="B14" t="s">
        <v>122</v>
      </c>
      <c r="C14" s="7" t="str">
        <f t="shared" si="3"/>
        <v>10</v>
      </c>
      <c r="D14" s="8" t="s">
        <v>109</v>
      </c>
      <c r="E14" s="7" t="str">
        <f t="shared" si="4"/>
        <v>31</v>
      </c>
      <c r="G14" s="16" t="s">
        <v>251</v>
      </c>
      <c r="H14" s="14" t="s">
        <v>290</v>
      </c>
    </row>
    <row r="15" spans="1:12" x14ac:dyDescent="0.25">
      <c r="A15" s="9" t="str">
        <f t="shared" si="2"/>
        <v>95 MAGAZINE INFO - CD1 NO, CD2 NO, CD3 NO, CD4 NO, CD5 NO, CD6 NO</v>
      </c>
      <c r="B15" t="s">
        <v>170</v>
      </c>
      <c r="C15" s="7" t="str">
        <f t="shared" si="3"/>
        <v>31</v>
      </c>
      <c r="D15" s="8" t="s">
        <v>109</v>
      </c>
      <c r="E15" s="7" t="str">
        <f t="shared" si="4"/>
        <v>10</v>
      </c>
      <c r="G15" s="16" t="s">
        <v>252</v>
      </c>
      <c r="H15" s="14" t="s">
        <v>291</v>
      </c>
    </row>
    <row r="16" spans="1:12" x14ac:dyDescent="0.25">
      <c r="A16" s="9" t="str">
        <f t="shared" si="2"/>
        <v>01 MASTER REQUEST - SLAVE POLL</v>
      </c>
      <c r="B16" t="s">
        <v>122</v>
      </c>
      <c r="C16" s="7" t="str">
        <f t="shared" si="3"/>
        <v>10</v>
      </c>
      <c r="D16" s="8" t="s">
        <v>109</v>
      </c>
      <c r="E16" s="7" t="str">
        <f t="shared" si="4"/>
        <v>31</v>
      </c>
      <c r="G16" s="16" t="s">
        <v>253</v>
      </c>
      <c r="H16" s="14" t="s">
        <v>292</v>
      </c>
    </row>
    <row r="17" spans="1:8" x14ac:dyDescent="0.25">
      <c r="A17" s="9" t="str">
        <f t="shared" si="2"/>
        <v>8E MAGAZIN INFO - MAGAZIN WAS PUT INTO CHANGER</v>
      </c>
      <c r="B17" t="s">
        <v>173</v>
      </c>
      <c r="C17" s="7" t="str">
        <f t="shared" si="3"/>
        <v>31</v>
      </c>
      <c r="D17" s="8" t="s">
        <v>109</v>
      </c>
      <c r="E17" s="7" t="str">
        <f t="shared" si="4"/>
        <v>77</v>
      </c>
      <c r="G17" s="16" t="s">
        <v>254</v>
      </c>
      <c r="H17" s="14" t="s">
        <v>293</v>
      </c>
    </row>
    <row r="18" spans="1:8" x14ac:dyDescent="0.25">
      <c r="A18" s="9" t="str">
        <f t="shared" si="2"/>
        <v>01 MASTER REQUEST - SLAVE POLL</v>
      </c>
      <c r="B18" t="s">
        <v>122</v>
      </c>
      <c r="C18" s="7" t="str">
        <f t="shared" si="3"/>
        <v>10</v>
      </c>
      <c r="D18" s="8" t="s">
        <v>109</v>
      </c>
      <c r="E18" s="7" t="str">
        <f t="shared" si="4"/>
        <v>31</v>
      </c>
      <c r="G18" s="16" t="s">
        <v>255</v>
      </c>
      <c r="H18" s="14" t="s">
        <v>294</v>
      </c>
    </row>
    <row r="19" spans="1:8" x14ac:dyDescent="0.25">
      <c r="A19" s="9" t="str">
        <f t="shared" si="2"/>
        <v>97 DISC INFO - TRACKS: 20, MINS: 79, SECS: 46, DISC: 1</v>
      </c>
      <c r="B19" t="s">
        <v>140</v>
      </c>
      <c r="C19" s="7" t="str">
        <f t="shared" si="3"/>
        <v>31</v>
      </c>
      <c r="D19" s="8" t="s">
        <v>109</v>
      </c>
      <c r="E19" s="7" t="str">
        <f t="shared" si="4"/>
        <v>10</v>
      </c>
      <c r="G19" s="16" t="s">
        <v>256</v>
      </c>
      <c r="H19" s="14" t="s">
        <v>295</v>
      </c>
    </row>
    <row r="20" spans="1:8" x14ac:dyDescent="0.25">
      <c r="A20" s="9" t="str">
        <f t="shared" si="2"/>
        <v>84 REQUEST MORE TEXT FIELDS - SEND MAGAZINE INFO</v>
      </c>
      <c r="B20" t="s">
        <v>125</v>
      </c>
      <c r="C20" s="7" t="str">
        <f t="shared" si="3"/>
        <v>10</v>
      </c>
      <c r="D20" s="8" t="s">
        <v>109</v>
      </c>
      <c r="E20" s="7" t="str">
        <f t="shared" si="4"/>
        <v>31</v>
      </c>
      <c r="G20" s="16" t="s">
        <v>257</v>
      </c>
      <c r="H20" s="14" t="s">
        <v>296</v>
      </c>
    </row>
    <row r="21" spans="1:8" x14ac:dyDescent="0.25">
      <c r="A21" s="9" t="str">
        <f t="shared" si="2"/>
        <v>01 MASTER REQUEST - TIME POLL</v>
      </c>
      <c r="B21" t="s">
        <v>126</v>
      </c>
      <c r="C21" s="7" t="str">
        <f t="shared" si="3"/>
        <v>10</v>
      </c>
      <c r="D21" s="8" t="s">
        <v>109</v>
      </c>
      <c r="E21" s="7" t="str">
        <f t="shared" si="4"/>
        <v>31</v>
      </c>
      <c r="G21" s="16" t="s">
        <v>258</v>
      </c>
      <c r="H21" s="14" t="s">
        <v>297</v>
      </c>
    </row>
    <row r="22" spans="1:8" x14ac:dyDescent="0.25">
      <c r="A22" s="9" t="str">
        <f t="shared" si="2"/>
        <v>00 STATUS - IDLE</v>
      </c>
      <c r="B22" t="s">
        <v>132</v>
      </c>
      <c r="C22" s="7" t="str">
        <f t="shared" si="3"/>
        <v>31</v>
      </c>
      <c r="D22" s="8" t="s">
        <v>109</v>
      </c>
      <c r="E22" s="7" t="str">
        <f t="shared" si="4"/>
        <v>10</v>
      </c>
      <c r="G22" s="16" t="s">
        <v>259</v>
      </c>
      <c r="H22" s="14" t="s">
        <v>298</v>
      </c>
    </row>
    <row r="23" spans="1:8" x14ac:dyDescent="0.25">
      <c r="A23" s="9" t="str">
        <f t="shared" si="2"/>
        <v>84 REQUEST MORE TEXT FIELDS - SEND DISC INFO</v>
      </c>
      <c r="B23" t="s">
        <v>127</v>
      </c>
      <c r="C23" s="7" t="str">
        <f t="shared" si="3"/>
        <v>10</v>
      </c>
      <c r="D23" s="8" t="s">
        <v>109</v>
      </c>
      <c r="E23" s="7" t="str">
        <f t="shared" si="4"/>
        <v>31</v>
      </c>
      <c r="G23" s="16" t="s">
        <v>260</v>
      </c>
      <c r="H23" s="14" t="s">
        <v>299</v>
      </c>
    </row>
    <row r="24" spans="1:8" x14ac:dyDescent="0.25">
      <c r="A24" s="9" t="str">
        <f t="shared" si="2"/>
        <v>01 MASTER REQUEST - SLAVE POLL</v>
      </c>
      <c r="B24" t="s">
        <v>122</v>
      </c>
      <c r="C24" s="7" t="str">
        <f t="shared" si="3"/>
        <v>10</v>
      </c>
      <c r="D24" s="8" t="s">
        <v>109</v>
      </c>
      <c r="E24" s="7" t="str">
        <f t="shared" si="4"/>
        <v>31</v>
      </c>
      <c r="G24" s="16" t="s">
        <v>261</v>
      </c>
      <c r="H24" s="14" t="s">
        <v>300</v>
      </c>
    </row>
    <row r="25" spans="1:8" x14ac:dyDescent="0.25">
      <c r="A25" s="9" t="str">
        <f t="shared" si="2"/>
        <v>95 MAGAZINE INFO - CD1 NO, CD2 NO, CD3 NO, CD4 NO, CD5 NO, CD6 NO</v>
      </c>
      <c r="B25" t="s">
        <v>170</v>
      </c>
      <c r="C25" s="7" t="str">
        <f t="shared" si="3"/>
        <v>31</v>
      </c>
      <c r="D25" s="8" t="s">
        <v>109</v>
      </c>
      <c r="E25" s="7" t="str">
        <f t="shared" si="4"/>
        <v>10</v>
      </c>
      <c r="G25" s="16" t="s">
        <v>262</v>
      </c>
      <c r="H25" s="14" t="s">
        <v>301</v>
      </c>
    </row>
    <row r="26" spans="1:8" x14ac:dyDescent="0.25">
      <c r="A26" s="9" t="str">
        <f t="shared" si="2"/>
        <v>01 MASTER REQUEST - SLAVE POLL</v>
      </c>
      <c r="B26" t="s">
        <v>122</v>
      </c>
      <c r="C26" s="7" t="str">
        <f t="shared" si="3"/>
        <v>10</v>
      </c>
      <c r="D26" s="8" t="s">
        <v>109</v>
      </c>
      <c r="E26" s="7" t="str">
        <f t="shared" si="4"/>
        <v>31</v>
      </c>
      <c r="G26" s="16" t="s">
        <v>263</v>
      </c>
      <c r="H26" s="14" t="s">
        <v>302</v>
      </c>
    </row>
    <row r="27" spans="1:8" x14ac:dyDescent="0.25">
      <c r="A27" s="9" t="str">
        <f t="shared" si="2"/>
        <v>97 DISC INFO - TRACKS: 20, MINS: 79, SECS: 46, DISC: 1</v>
      </c>
      <c r="B27" t="s">
        <v>140</v>
      </c>
      <c r="C27" s="7" t="str">
        <f t="shared" si="3"/>
        <v>31</v>
      </c>
      <c r="D27" s="8" t="s">
        <v>109</v>
      </c>
      <c r="E27" s="7" t="str">
        <f t="shared" si="4"/>
        <v>10</v>
      </c>
      <c r="G27" s="16" t="s">
        <v>264</v>
      </c>
      <c r="H27" s="14" t="s">
        <v>303</v>
      </c>
    </row>
    <row r="28" spans="1:8" x14ac:dyDescent="0.25">
      <c r="A28" s="9" t="str">
        <f t="shared" si="2"/>
        <v>84 REQUEST MORE TEXT FIELDS - SEND MAGAZINE INFO</v>
      </c>
      <c r="B28" t="s">
        <v>125</v>
      </c>
      <c r="C28" s="7" t="str">
        <f t="shared" si="3"/>
        <v>10</v>
      </c>
      <c r="D28" s="8" t="s">
        <v>109</v>
      </c>
      <c r="E28" s="7" t="str">
        <f t="shared" si="4"/>
        <v>31</v>
      </c>
      <c r="G28" s="16" t="s">
        <v>265</v>
      </c>
      <c r="H28" s="14" t="s">
        <v>304</v>
      </c>
    </row>
    <row r="29" spans="1:8" x14ac:dyDescent="0.25">
      <c r="A29" s="9" t="str">
        <f t="shared" si="2"/>
        <v>01 MASTER REQUEST - TIME POLL</v>
      </c>
      <c r="B29" t="s">
        <v>126</v>
      </c>
      <c r="C29" s="7" t="str">
        <f t="shared" si="3"/>
        <v>10</v>
      </c>
      <c r="D29" s="8" t="s">
        <v>109</v>
      </c>
      <c r="E29" s="7" t="str">
        <f t="shared" si="4"/>
        <v>31</v>
      </c>
      <c r="G29" s="16" t="s">
        <v>266</v>
      </c>
      <c r="H29" s="14" t="s">
        <v>305</v>
      </c>
    </row>
    <row r="30" spans="1:8" x14ac:dyDescent="0.25">
      <c r="A30" s="9" t="str">
        <f t="shared" si="2"/>
        <v>00 STATUS - IDLE</v>
      </c>
      <c r="B30" t="s">
        <v>132</v>
      </c>
      <c r="C30" s="7" t="str">
        <f t="shared" si="3"/>
        <v>31</v>
      </c>
      <c r="D30" s="8" t="s">
        <v>109</v>
      </c>
      <c r="E30" s="7" t="str">
        <f t="shared" si="4"/>
        <v>10</v>
      </c>
      <c r="G30" s="16" t="s">
        <v>267</v>
      </c>
      <c r="H30" s="14" t="s">
        <v>306</v>
      </c>
    </row>
    <row r="31" spans="1:8" x14ac:dyDescent="0.25">
      <c r="A31" s="9" t="str">
        <f t="shared" si="2"/>
        <v>84 REQUEST MORE TEXT FIELDS - SEND DISC INFO</v>
      </c>
      <c r="B31" t="s">
        <v>127</v>
      </c>
      <c r="C31" s="7" t="str">
        <f t="shared" si="3"/>
        <v>10</v>
      </c>
      <c r="D31" s="8" t="s">
        <v>109</v>
      </c>
      <c r="E31" s="7" t="str">
        <f t="shared" si="4"/>
        <v>31</v>
      </c>
      <c r="G31" s="16" t="s">
        <v>268</v>
      </c>
      <c r="H31" s="14" t="s">
        <v>307</v>
      </c>
    </row>
    <row r="32" spans="1:8" x14ac:dyDescent="0.25">
      <c r="A32" s="9" t="str">
        <f t="shared" si="2"/>
        <v>01 MASTER REQUEST - SLAVE POLL</v>
      </c>
      <c r="B32" t="s">
        <v>122</v>
      </c>
      <c r="C32" s="7" t="str">
        <f t="shared" si="3"/>
        <v>10</v>
      </c>
      <c r="D32" s="8" t="s">
        <v>109</v>
      </c>
      <c r="E32" s="7" t="str">
        <f t="shared" si="4"/>
        <v>31</v>
      </c>
      <c r="G32" s="16" t="s">
        <v>269</v>
      </c>
      <c r="H32" s="14" t="s">
        <v>270</v>
      </c>
    </row>
    <row r="33" spans="1:8" x14ac:dyDescent="0.25">
      <c r="A33" s="9" t="str">
        <f t="shared" si="2"/>
        <v>95 MAGAZINE INFO - CD1 NO, CD2 NO, CD3 NO, CD4 NO, CD5 NO, CD6 NO</v>
      </c>
      <c r="B33" t="s">
        <v>170</v>
      </c>
      <c r="C33" s="7" t="str">
        <f t="shared" si="3"/>
        <v>31</v>
      </c>
      <c r="D33" s="8" t="s">
        <v>109</v>
      </c>
      <c r="E33" s="7" t="str">
        <f t="shared" si="4"/>
        <v>10</v>
      </c>
      <c r="G33" s="16" t="s">
        <v>271</v>
      </c>
      <c r="H33" s="14" t="s">
        <v>272</v>
      </c>
    </row>
    <row r="34" spans="1:8" x14ac:dyDescent="0.25">
      <c r="A34" s="9" t="str">
        <f t="shared" si="2"/>
        <v>01 MASTER REQUEST - SLAVE POLL</v>
      </c>
      <c r="B34" t="s">
        <v>122</v>
      </c>
      <c r="C34" s="7" t="str">
        <f t="shared" si="3"/>
        <v>10</v>
      </c>
      <c r="D34" s="8" t="s">
        <v>109</v>
      </c>
      <c r="E34" s="7" t="str">
        <f t="shared" si="4"/>
        <v>31</v>
      </c>
      <c r="G34" s="16" t="s">
        <v>273</v>
      </c>
      <c r="H34" s="14" t="s">
        <v>308</v>
      </c>
    </row>
    <row r="35" spans="1:8" x14ac:dyDescent="0.25">
      <c r="A35" s="9" t="str">
        <f t="shared" si="2"/>
        <v>97 DISC INFO - TRACKS: 20, MINS: 79, SECS: 46, DISC: 1</v>
      </c>
      <c r="B35" t="s">
        <v>140</v>
      </c>
      <c r="C35" s="7" t="str">
        <f t="shared" si="3"/>
        <v>31</v>
      </c>
      <c r="D35" s="8" t="s">
        <v>109</v>
      </c>
      <c r="E35" s="7" t="str">
        <f t="shared" si="4"/>
        <v>10</v>
      </c>
      <c r="G35" s="16" t="s">
        <v>274</v>
      </c>
      <c r="H35" s="14" t="s">
        <v>309</v>
      </c>
    </row>
    <row r="36" spans="1:8" x14ac:dyDescent="0.25">
      <c r="A36" s="9" t="str">
        <f t="shared" si="2"/>
        <v>84 REQUEST MORE TEXT FIELDS - SEND MAGAZINE INFO</v>
      </c>
      <c r="B36" t="s">
        <v>125</v>
      </c>
      <c r="C36" s="7" t="str">
        <f t="shared" si="3"/>
        <v>10</v>
      </c>
      <c r="D36" s="8" t="s">
        <v>109</v>
      </c>
      <c r="E36" s="7" t="str">
        <f t="shared" si="4"/>
        <v>31</v>
      </c>
      <c r="G36" s="16" t="s">
        <v>275</v>
      </c>
      <c r="H36" s="14" t="s">
        <v>310</v>
      </c>
    </row>
    <row r="37" spans="1:8" x14ac:dyDescent="0.25">
      <c r="A37" s="9" t="str">
        <f t="shared" si="2"/>
        <v>01 MASTER REQUEST - TIME POLL</v>
      </c>
      <c r="B37" t="s">
        <v>126</v>
      </c>
      <c r="C37" s="7" t="str">
        <f t="shared" si="3"/>
        <v>10</v>
      </c>
      <c r="D37" s="8" t="s">
        <v>109</v>
      </c>
      <c r="E37" s="7" t="str">
        <f t="shared" si="4"/>
        <v>31</v>
      </c>
      <c r="G37" s="16" t="s">
        <v>276</v>
      </c>
      <c r="H37" s="14" t="s">
        <v>311</v>
      </c>
    </row>
    <row r="38" spans="1:8" x14ac:dyDescent="0.25">
      <c r="A38" s="9" t="str">
        <f t="shared" si="2"/>
        <v>00 STATUS - IDLE</v>
      </c>
      <c r="B38" t="s">
        <v>132</v>
      </c>
      <c r="C38" s="7" t="str">
        <f t="shared" si="3"/>
        <v>31</v>
      </c>
      <c r="D38" s="8" t="s">
        <v>109</v>
      </c>
      <c r="E38" s="7" t="str">
        <f t="shared" si="4"/>
        <v>10</v>
      </c>
      <c r="G38" s="16" t="s">
        <v>277</v>
      </c>
      <c r="H38" s="14" t="s">
        <v>278</v>
      </c>
    </row>
    <row r="39" spans="1:8" x14ac:dyDescent="0.25">
      <c r="A39" s="9" t="str">
        <f t="shared" si="2"/>
        <v>84 REQUEST MORE TEXT FIELDS - SEND DISC INFO</v>
      </c>
      <c r="B39" t="s">
        <v>127</v>
      </c>
      <c r="C39" s="7" t="str">
        <f t="shared" si="3"/>
        <v>10</v>
      </c>
      <c r="D39" s="8" t="s">
        <v>109</v>
      </c>
      <c r="E39" s="7" t="str">
        <f t="shared" si="4"/>
        <v>31</v>
      </c>
      <c r="G39" s="16" t="s">
        <v>279</v>
      </c>
      <c r="H39" s="14" t="s">
        <v>312</v>
      </c>
    </row>
    <row r="40" spans="1:8" x14ac:dyDescent="0.25">
      <c r="A40" s="9" t="str">
        <f t="shared" si="2"/>
        <v>01 MASTER REQUEST - SLAVE POLL</v>
      </c>
      <c r="B40" t="s">
        <v>122</v>
      </c>
      <c r="C40" s="7" t="str">
        <f t="shared" si="3"/>
        <v>10</v>
      </c>
      <c r="D40" s="8" t="s">
        <v>109</v>
      </c>
      <c r="E40" s="7" t="str">
        <f t="shared" si="4"/>
        <v>31</v>
      </c>
      <c r="G40" s="16" t="s">
        <v>280</v>
      </c>
      <c r="H40" s="14" t="s">
        <v>188</v>
      </c>
    </row>
    <row r="41" spans="1:8" x14ac:dyDescent="0.25">
      <c r="A41" s="9" t="str">
        <f t="shared" si="2"/>
        <v>95 MAGAZINE INFO - CD1 NO, CD2 NO, CD3 NO, CD4 NO, CD5 NO, CD6 NO</v>
      </c>
      <c r="B41" t="s">
        <v>170</v>
      </c>
      <c r="C41" s="7" t="str">
        <f t="shared" si="3"/>
        <v>31</v>
      </c>
      <c r="D41" s="8" t="s">
        <v>109</v>
      </c>
      <c r="E41" s="7" t="str">
        <f t="shared" si="4"/>
        <v>10</v>
      </c>
      <c r="G41" s="16" t="s">
        <v>281</v>
      </c>
      <c r="H41" s="14" t="s">
        <v>282</v>
      </c>
    </row>
    <row r="42" spans="1:8" x14ac:dyDescent="0.25">
      <c r="A42" s="9" t="str">
        <f t="shared" si="2"/>
        <v>01 MASTER REQUEST - SLAVE POLL</v>
      </c>
      <c r="B42" t="s">
        <v>122</v>
      </c>
      <c r="C42" s="7" t="str">
        <f t="shared" si="3"/>
        <v>10</v>
      </c>
      <c r="D42" s="8" t="s">
        <v>109</v>
      </c>
      <c r="E42" s="7" t="str">
        <f t="shared" si="4"/>
        <v>31</v>
      </c>
      <c r="G42" s="16" t="s">
        <v>283</v>
      </c>
      <c r="H42" s="14" t="s">
        <v>284</v>
      </c>
    </row>
    <row r="43" spans="1:8" ht="15.75" thickBot="1" x14ac:dyDescent="0.3">
      <c r="A43" s="9" t="str">
        <f t="shared" si="2"/>
        <v>97 DISC INFO - TRACKS: 20, MINS: 79, SECS: 46, DISC: 1</v>
      </c>
      <c r="B43" t="s">
        <v>140</v>
      </c>
      <c r="C43" s="7" t="str">
        <f t="shared" si="3"/>
        <v>31</v>
      </c>
      <c r="D43" s="8" t="s">
        <v>109</v>
      </c>
      <c r="E43" s="7" t="str">
        <f t="shared" si="4"/>
        <v>10</v>
      </c>
      <c r="G43" s="17" t="s">
        <v>285</v>
      </c>
      <c r="H43" s="15" t="s">
        <v>286</v>
      </c>
    </row>
    <row r="44" spans="1:8" x14ac:dyDescent="0.25">
      <c r="A44" s="9" t="str">
        <f t="shared" si="2"/>
        <v>01 MASTER REQUEST - SLAVE POLL</v>
      </c>
      <c r="B44" t="s">
        <v>122</v>
      </c>
      <c r="C44" s="7" t="str">
        <f t="shared" si="3"/>
        <v>10</v>
      </c>
      <c r="D44" s="8" t="s">
        <v>109</v>
      </c>
      <c r="E44" s="7" t="str">
        <f t="shared" si="4"/>
        <v>31</v>
      </c>
    </row>
    <row r="45" spans="1:8" x14ac:dyDescent="0.25">
      <c r="A45" s="9" t="str">
        <f t="shared" si="2"/>
        <v>00 STATUS - IDLE</v>
      </c>
      <c r="B45" t="s">
        <v>132</v>
      </c>
      <c r="C45" s="7" t="str">
        <f t="shared" si="3"/>
        <v>31</v>
      </c>
      <c r="D45" s="8" t="s">
        <v>109</v>
      </c>
      <c r="E45" s="7" t="str">
        <f t="shared" si="4"/>
        <v>10</v>
      </c>
    </row>
    <row r="46" spans="1:8" x14ac:dyDescent="0.25">
      <c r="A46" s="9" t="str">
        <f t="shared" si="2"/>
        <v>84 REQUEST MORE TEXT FIELDS - SEND MAGAZINE INFO</v>
      </c>
      <c r="B46" t="s">
        <v>134</v>
      </c>
      <c r="C46" s="7" t="str">
        <f t="shared" si="3"/>
        <v>10</v>
      </c>
      <c r="D46" s="8" t="s">
        <v>109</v>
      </c>
      <c r="E46" s="7" t="str">
        <f t="shared" si="4"/>
        <v>31</v>
      </c>
    </row>
    <row r="47" spans="1:8" x14ac:dyDescent="0.25">
      <c r="A47" s="9" t="str">
        <f t="shared" si="2"/>
        <v>01 MASTER REQUEST - TIME POLL</v>
      </c>
      <c r="B47" t="s">
        <v>126</v>
      </c>
      <c r="C47" s="7" t="str">
        <f t="shared" si="3"/>
        <v>10</v>
      </c>
      <c r="D47" s="8" t="s">
        <v>109</v>
      </c>
      <c r="E47" s="7" t="str">
        <f t="shared" si="4"/>
        <v>31</v>
      </c>
    </row>
    <row r="48" spans="1:8" x14ac:dyDescent="0.25">
      <c r="A48" s="9" t="str">
        <f t="shared" si="2"/>
        <v>00 STATUS - IDLE</v>
      </c>
      <c r="B48" t="s">
        <v>132</v>
      </c>
      <c r="C48" s="7" t="str">
        <f t="shared" si="3"/>
        <v>31</v>
      </c>
      <c r="D48" s="8" t="s">
        <v>109</v>
      </c>
      <c r="E48" s="7" t="str">
        <f t="shared" si="4"/>
        <v>10</v>
      </c>
    </row>
    <row r="49" spans="1:5" x14ac:dyDescent="0.25">
      <c r="A49" s="9" t="str">
        <f t="shared" si="2"/>
        <v>84 REQUEST MORE TEXT FIELDS - SEND DISC INFO</v>
      </c>
      <c r="B49" t="s">
        <v>127</v>
      </c>
      <c r="C49" s="7" t="str">
        <f t="shared" si="3"/>
        <v>10</v>
      </c>
      <c r="D49" s="8" t="s">
        <v>109</v>
      </c>
      <c r="E49" s="7" t="str">
        <f t="shared" si="4"/>
        <v>31</v>
      </c>
    </row>
    <row r="50" spans="1:5" x14ac:dyDescent="0.25">
      <c r="A50" s="9" t="str">
        <f t="shared" si="2"/>
        <v>01 MASTER REQUEST - SLAVE POLL</v>
      </c>
      <c r="B50" t="s">
        <v>122</v>
      </c>
      <c r="C50" s="7" t="str">
        <f t="shared" si="3"/>
        <v>10</v>
      </c>
      <c r="D50" s="8" t="s">
        <v>109</v>
      </c>
      <c r="E50" s="7" t="str">
        <f t="shared" si="4"/>
        <v>31</v>
      </c>
    </row>
    <row r="51" spans="1:5" x14ac:dyDescent="0.25">
      <c r="A51" s="9" t="str">
        <f t="shared" si="2"/>
        <v>95 MAGAZINE INFO - CD1 NO, CD2 NO, CD3 NO, CD4 NO, CD5 NO, CD6 NO</v>
      </c>
      <c r="B51" t="s">
        <v>170</v>
      </c>
      <c r="C51" s="7" t="str">
        <f t="shared" si="3"/>
        <v>31</v>
      </c>
      <c r="D51" s="8" t="s">
        <v>109</v>
      </c>
      <c r="E51" s="7" t="str">
        <f t="shared" si="4"/>
        <v>10</v>
      </c>
    </row>
    <row r="52" spans="1:5" x14ac:dyDescent="0.25">
      <c r="A52" s="9" t="str">
        <f t="shared" si="2"/>
        <v>01 MASTER REQUEST - SLAVE POLL</v>
      </c>
      <c r="B52" t="s">
        <v>122</v>
      </c>
      <c r="C52" s="7" t="str">
        <f t="shared" si="3"/>
        <v>10</v>
      </c>
      <c r="D52" s="8" t="s">
        <v>109</v>
      </c>
      <c r="E52" s="7" t="str">
        <f t="shared" si="4"/>
        <v>31</v>
      </c>
    </row>
    <row r="53" spans="1:5" x14ac:dyDescent="0.25">
      <c r="A53" s="9" t="str">
        <f t="shared" si="2"/>
        <v>97 DISC INFO - TRACKS: 20, MINS: 79, SECS: 46, DISC: 1</v>
      </c>
      <c r="B53" t="s">
        <v>140</v>
      </c>
      <c r="C53" s="7" t="str">
        <f t="shared" si="3"/>
        <v>31</v>
      </c>
      <c r="D53" s="8" t="s">
        <v>109</v>
      </c>
      <c r="E53" s="7" t="str">
        <f t="shared" si="4"/>
        <v>10</v>
      </c>
    </row>
    <row r="54" spans="1:5" x14ac:dyDescent="0.25">
      <c r="A54" s="9" t="str">
        <f t="shared" si="2"/>
        <v>84 REQUEST MORE TEXT FIELDS - SEND MAGAZINE INFO</v>
      </c>
      <c r="B54" t="s">
        <v>125</v>
      </c>
      <c r="C54" s="7" t="str">
        <f t="shared" si="3"/>
        <v>10</v>
      </c>
      <c r="D54" s="8" t="s">
        <v>109</v>
      </c>
      <c r="E54" s="7" t="str">
        <f t="shared" si="4"/>
        <v>31</v>
      </c>
    </row>
    <row r="55" spans="1:5" x14ac:dyDescent="0.25">
      <c r="A55" s="9" t="str">
        <f t="shared" si="2"/>
        <v>01 MASTER REQUEST - TIME POLL</v>
      </c>
      <c r="B55" t="s">
        <v>126</v>
      </c>
      <c r="C55" s="7" t="str">
        <f t="shared" si="3"/>
        <v>10</v>
      </c>
      <c r="D55" s="8" t="s">
        <v>109</v>
      </c>
      <c r="E55" s="7" t="str">
        <f t="shared" si="4"/>
        <v>31</v>
      </c>
    </row>
    <row r="56" spans="1:5" x14ac:dyDescent="0.25">
      <c r="A56" s="9" t="str">
        <f t="shared" si="2"/>
        <v>00 STATUS - IDLE</v>
      </c>
      <c r="B56" t="s">
        <v>132</v>
      </c>
      <c r="C56" s="7" t="str">
        <f t="shared" si="3"/>
        <v>31</v>
      </c>
      <c r="D56" s="8" t="s">
        <v>109</v>
      </c>
      <c r="E56" s="7" t="str">
        <f t="shared" si="4"/>
        <v>10</v>
      </c>
    </row>
    <row r="57" spans="1:5" x14ac:dyDescent="0.25">
      <c r="A57" s="9" t="str">
        <f t="shared" si="2"/>
        <v>84 REQUEST MORE TEXT FIELDS - SEND DISC INFO</v>
      </c>
      <c r="B57" t="s">
        <v>127</v>
      </c>
      <c r="C57" s="7" t="str">
        <f t="shared" si="3"/>
        <v>10</v>
      </c>
      <c r="D57" s="8" t="s">
        <v>109</v>
      </c>
      <c r="E57" s="7" t="str">
        <f t="shared" si="4"/>
        <v>31</v>
      </c>
    </row>
    <row r="58" spans="1:5" x14ac:dyDescent="0.25">
      <c r="A58" s="9" t="str">
        <f t="shared" si="2"/>
        <v>01 MASTER REQUEST - SLAVE POLL</v>
      </c>
      <c r="B58" t="s">
        <v>122</v>
      </c>
      <c r="C58" s="7" t="str">
        <f t="shared" si="3"/>
        <v>10</v>
      </c>
      <c r="D58" s="8" t="s">
        <v>109</v>
      </c>
      <c r="E58" s="7" t="str">
        <f t="shared" si="4"/>
        <v>31</v>
      </c>
    </row>
    <row r="59" spans="1:5" x14ac:dyDescent="0.25">
      <c r="A59" s="9" t="str">
        <f t="shared" si="2"/>
        <v>95 MAGAZINE INFO - CD1 NO, CD2 NO, CD3 NO, CD4 NO, CD5 NO, CD6 NO</v>
      </c>
      <c r="B59" t="s">
        <v>170</v>
      </c>
      <c r="C59" s="7" t="str">
        <f t="shared" si="3"/>
        <v>31</v>
      </c>
      <c r="D59" s="8" t="s">
        <v>109</v>
      </c>
      <c r="E59" s="7" t="str">
        <f t="shared" si="4"/>
        <v>10</v>
      </c>
    </row>
    <row r="60" spans="1:5" x14ac:dyDescent="0.25">
      <c r="A60" s="9" t="str">
        <f t="shared" si="2"/>
        <v>01 MASTER REQUEST - SLAVE POLL</v>
      </c>
      <c r="B60" t="s">
        <v>122</v>
      </c>
      <c r="C60" s="7" t="str">
        <f t="shared" si="3"/>
        <v>10</v>
      </c>
      <c r="D60" s="8" t="s">
        <v>109</v>
      </c>
      <c r="E60" s="7" t="str">
        <f t="shared" si="4"/>
        <v>31</v>
      </c>
    </row>
    <row r="61" spans="1:5" x14ac:dyDescent="0.25">
      <c r="A61" s="9" t="str">
        <f t="shared" si="2"/>
        <v>97 DISC INFO - TRACKS: 20, MINS: 79, SECS: 46, DISC: 1</v>
      </c>
      <c r="B61" t="s">
        <v>140</v>
      </c>
      <c r="C61" s="7" t="str">
        <f t="shared" si="3"/>
        <v>31</v>
      </c>
      <c r="D61" s="8" t="s">
        <v>109</v>
      </c>
      <c r="E61" s="7" t="str">
        <f t="shared" si="4"/>
        <v>10</v>
      </c>
    </row>
    <row r="62" spans="1:5" x14ac:dyDescent="0.25">
      <c r="A62" s="9" t="str">
        <f t="shared" si="2"/>
        <v>84 REQUEST MORE TEXT FIELDS - SEND MAGAZINE INFO</v>
      </c>
      <c r="B62" t="s">
        <v>125</v>
      </c>
      <c r="C62" s="7" t="str">
        <f t="shared" si="3"/>
        <v>10</v>
      </c>
      <c r="D62" s="8" t="s">
        <v>109</v>
      </c>
      <c r="E62" s="7" t="str">
        <f t="shared" si="4"/>
        <v>31</v>
      </c>
    </row>
    <row r="63" spans="1:5" x14ac:dyDescent="0.25">
      <c r="A63" s="9" t="str">
        <f t="shared" si="2"/>
        <v>01 MASTER REQUEST - TIME POLL</v>
      </c>
      <c r="B63" t="s">
        <v>126</v>
      </c>
      <c r="C63" s="7" t="str">
        <f t="shared" si="3"/>
        <v>10</v>
      </c>
      <c r="D63" s="8" t="s">
        <v>109</v>
      </c>
      <c r="E63" s="7" t="str">
        <f t="shared" si="4"/>
        <v>31</v>
      </c>
    </row>
    <row r="64" spans="1:5" x14ac:dyDescent="0.25">
      <c r="A64" s="9" t="str">
        <f t="shared" si="2"/>
        <v>00 STATUS - IDLE</v>
      </c>
      <c r="B64" t="s">
        <v>132</v>
      </c>
      <c r="C64" s="7" t="str">
        <f t="shared" si="3"/>
        <v>31</v>
      </c>
      <c r="D64" s="8" t="s">
        <v>109</v>
      </c>
      <c r="E64" s="7" t="str">
        <f t="shared" si="4"/>
        <v>10</v>
      </c>
    </row>
    <row r="65" spans="1:5" x14ac:dyDescent="0.25">
      <c r="A65" s="9" t="str">
        <f t="shared" si="2"/>
        <v>84 REQUEST MORE TEXT FIELDS - SEND DISC INFO</v>
      </c>
      <c r="B65" t="s">
        <v>127</v>
      </c>
      <c r="C65" s="7" t="str">
        <f t="shared" si="3"/>
        <v>10</v>
      </c>
      <c r="D65" s="8" t="s">
        <v>109</v>
      </c>
      <c r="E65" s="7" t="str">
        <f t="shared" si="4"/>
        <v>31</v>
      </c>
    </row>
    <row r="66" spans="1:5" x14ac:dyDescent="0.25">
      <c r="A66" s="9" t="str">
        <f t="shared" si="2"/>
        <v>01 MASTER REQUEST - SLAVE POLL</v>
      </c>
      <c r="B66" t="s">
        <v>122</v>
      </c>
      <c r="C66" s="7" t="str">
        <f t="shared" si="3"/>
        <v>10</v>
      </c>
      <c r="D66" s="8" t="s">
        <v>109</v>
      </c>
      <c r="E66" s="7" t="str">
        <f t="shared" si="4"/>
        <v>31</v>
      </c>
    </row>
    <row r="67" spans="1:5" x14ac:dyDescent="0.25">
      <c r="A67" s="9" t="str">
        <f t="shared" ref="A67:A130" si="5">ParseUnilink(B67)</f>
        <v>95 MAGAZINE INFO - CD1 NO, CD2 NO, CD3 NO, CD4 NO, CD5 NO, CD6 NO</v>
      </c>
      <c r="B67" t="s">
        <v>170</v>
      </c>
      <c r="C67" s="7" t="str">
        <f t="shared" ref="C67:C130" si="6">MID(B67,4,2)</f>
        <v>31</v>
      </c>
      <c r="D67" s="8" t="s">
        <v>109</v>
      </c>
      <c r="E67" s="7" t="str">
        <f t="shared" ref="E67:E130" si="7">MID(B67,1,2)</f>
        <v>10</v>
      </c>
    </row>
    <row r="68" spans="1:5" x14ac:dyDescent="0.25">
      <c r="A68" s="9" t="str">
        <f t="shared" si="5"/>
        <v>01 MASTER REQUEST - SLAVE POLL</v>
      </c>
      <c r="B68" t="s">
        <v>122</v>
      </c>
      <c r="C68" s="7" t="str">
        <f t="shared" si="6"/>
        <v>10</v>
      </c>
      <c r="D68" s="8" t="s">
        <v>109</v>
      </c>
      <c r="E68" s="7" t="str">
        <f t="shared" si="7"/>
        <v>31</v>
      </c>
    </row>
    <row r="69" spans="1:5" x14ac:dyDescent="0.25">
      <c r="A69" s="9" t="str">
        <f t="shared" si="5"/>
        <v>97 DISC INFO - TRACKS: 20, MINS: 79, SECS: 46, DISC: 1</v>
      </c>
      <c r="B69" t="s">
        <v>140</v>
      </c>
      <c r="C69" s="7" t="str">
        <f t="shared" si="6"/>
        <v>31</v>
      </c>
      <c r="D69" s="8" t="s">
        <v>109</v>
      </c>
      <c r="E69" s="7" t="str">
        <f t="shared" si="7"/>
        <v>10</v>
      </c>
    </row>
    <row r="70" spans="1:5" x14ac:dyDescent="0.25">
      <c r="A70" s="9" t="str">
        <f t="shared" si="5"/>
        <v>01 MASTER REQUEST - SLAVE POLL</v>
      </c>
      <c r="B70" t="s">
        <v>122</v>
      </c>
      <c r="C70" s="7" t="str">
        <f t="shared" si="6"/>
        <v>10</v>
      </c>
      <c r="D70" s="8" t="s">
        <v>109</v>
      </c>
      <c r="E70" s="7" t="str">
        <f t="shared" si="7"/>
        <v>31</v>
      </c>
    </row>
    <row r="71" spans="1:5" x14ac:dyDescent="0.25">
      <c r="A71" s="9" t="str">
        <f t="shared" si="5"/>
        <v>00 STATUS - IDLE</v>
      </c>
      <c r="B71" t="s">
        <v>132</v>
      </c>
      <c r="C71" s="7" t="str">
        <f t="shared" si="6"/>
        <v>31</v>
      </c>
      <c r="D71" s="8" t="s">
        <v>109</v>
      </c>
      <c r="E71" s="7" t="str">
        <f t="shared" si="7"/>
        <v>10</v>
      </c>
    </row>
    <row r="72" spans="1:5" x14ac:dyDescent="0.25">
      <c r="A72" s="9" t="str">
        <f t="shared" si="5"/>
        <v>84 REQUEST MORE TEXT FIELDS - SEND MAGAZINE INFO</v>
      </c>
      <c r="B72" t="s">
        <v>125</v>
      </c>
      <c r="C72" s="7" t="str">
        <f t="shared" si="6"/>
        <v>10</v>
      </c>
      <c r="D72" s="8" t="s">
        <v>109</v>
      </c>
      <c r="E72" s="7" t="str">
        <f t="shared" si="7"/>
        <v>31</v>
      </c>
    </row>
    <row r="73" spans="1:5" x14ac:dyDescent="0.25">
      <c r="A73" s="9" t="str">
        <f t="shared" si="5"/>
        <v>01 MASTER REQUEST - TIME POLL</v>
      </c>
      <c r="B73" t="s">
        <v>126</v>
      </c>
      <c r="C73" s="7" t="str">
        <f t="shared" si="6"/>
        <v>10</v>
      </c>
      <c r="D73" s="8" t="s">
        <v>109</v>
      </c>
      <c r="E73" s="7" t="str">
        <f t="shared" si="7"/>
        <v>31</v>
      </c>
    </row>
    <row r="74" spans="1:5" x14ac:dyDescent="0.25">
      <c r="A74" s="9" t="str">
        <f t="shared" si="5"/>
        <v>00 STATUS - IDLE</v>
      </c>
      <c r="B74" t="s">
        <v>132</v>
      </c>
      <c r="C74" s="7" t="str">
        <f t="shared" si="6"/>
        <v>31</v>
      </c>
      <c r="D74" s="8" t="s">
        <v>109</v>
      </c>
      <c r="E74" s="7" t="str">
        <f t="shared" si="7"/>
        <v>10</v>
      </c>
    </row>
    <row r="75" spans="1:5" x14ac:dyDescent="0.25">
      <c r="A75" s="9" t="str">
        <f t="shared" si="5"/>
        <v>84 REQUEST MORE TEXT FIELDS - SEND DISC INFO</v>
      </c>
      <c r="B75" t="s">
        <v>133</v>
      </c>
      <c r="C75" s="7" t="str">
        <f t="shared" si="6"/>
        <v>10</v>
      </c>
      <c r="D75" s="8" t="s">
        <v>109</v>
      </c>
      <c r="E75" s="7" t="str">
        <f t="shared" si="7"/>
        <v>31</v>
      </c>
    </row>
    <row r="76" spans="1:5" x14ac:dyDescent="0.25">
      <c r="A76" s="9" t="str">
        <f t="shared" si="5"/>
        <v>01 MASTER REQUEST - SLAVE POLL</v>
      </c>
      <c r="B76" t="s">
        <v>122</v>
      </c>
      <c r="C76" s="7" t="str">
        <f t="shared" si="6"/>
        <v>10</v>
      </c>
      <c r="D76" s="8" t="s">
        <v>109</v>
      </c>
      <c r="E76" s="7" t="str">
        <f t="shared" si="7"/>
        <v>31</v>
      </c>
    </row>
    <row r="77" spans="1:5" x14ac:dyDescent="0.25">
      <c r="A77" s="9" t="str">
        <f t="shared" si="5"/>
        <v>95 MAGAZINE INFO - CD1 YES, CD2 NO, CD3 NO, CD4 NO, CD5 NO, CD6 NO</v>
      </c>
      <c r="B77" t="s">
        <v>174</v>
      </c>
      <c r="C77" s="7" t="str">
        <f t="shared" si="6"/>
        <v>31</v>
      </c>
      <c r="D77" s="8" t="s">
        <v>109</v>
      </c>
      <c r="E77" s="7" t="str">
        <f t="shared" si="7"/>
        <v>70</v>
      </c>
    </row>
    <row r="78" spans="1:5" x14ac:dyDescent="0.25">
      <c r="A78" s="9" t="str">
        <f t="shared" si="5"/>
        <v>01 MASTER REQUEST - SLAVE POLL</v>
      </c>
      <c r="B78" t="s">
        <v>122</v>
      </c>
      <c r="C78" s="7" t="str">
        <f t="shared" si="6"/>
        <v>10</v>
      </c>
      <c r="D78" s="8" t="s">
        <v>109</v>
      </c>
      <c r="E78" s="7" t="str">
        <f t="shared" si="7"/>
        <v>31</v>
      </c>
    </row>
    <row r="79" spans="1:5" x14ac:dyDescent="0.25">
      <c r="A79" s="9" t="str">
        <f t="shared" si="5"/>
        <v>95 MAGAZINE INFO - CD1 YES, CD2 NO, CD3 NO, CD4 NO, CD5 NO, CD6 NO</v>
      </c>
      <c r="B79" t="s">
        <v>175</v>
      </c>
      <c r="C79" s="7" t="str">
        <f t="shared" si="6"/>
        <v>31</v>
      </c>
      <c r="D79" s="8" t="s">
        <v>109</v>
      </c>
      <c r="E79" s="7" t="str">
        <f t="shared" si="7"/>
        <v>10</v>
      </c>
    </row>
    <row r="80" spans="1:5" x14ac:dyDescent="0.25">
      <c r="A80" s="9" t="str">
        <f t="shared" si="5"/>
        <v>01 MASTER REQUEST - SLAVE POLL</v>
      </c>
      <c r="B80" t="s">
        <v>122</v>
      </c>
      <c r="C80" s="7" t="str">
        <f t="shared" si="6"/>
        <v>10</v>
      </c>
      <c r="D80" s="8" t="s">
        <v>109</v>
      </c>
      <c r="E80" s="7" t="str">
        <f t="shared" si="7"/>
        <v>31</v>
      </c>
    </row>
    <row r="81" spans="1:5" x14ac:dyDescent="0.25">
      <c r="A81" s="9" t="str">
        <f t="shared" si="5"/>
        <v>97 DISC INFO - TRACKS: 20, MINS: 79, SECS: 46, DISC: 2</v>
      </c>
      <c r="B81" t="s">
        <v>176</v>
      </c>
      <c r="C81" s="7" t="str">
        <f t="shared" si="6"/>
        <v>31</v>
      </c>
      <c r="D81" s="8" t="s">
        <v>109</v>
      </c>
      <c r="E81" s="7" t="str">
        <f t="shared" si="7"/>
        <v>10</v>
      </c>
    </row>
    <row r="82" spans="1:5" x14ac:dyDescent="0.25">
      <c r="A82" s="9" t="str">
        <f t="shared" si="5"/>
        <v>01 MASTER REQUEST - SLAVE POLL</v>
      </c>
      <c r="B82" t="s">
        <v>122</v>
      </c>
      <c r="C82" s="7" t="str">
        <f t="shared" si="6"/>
        <v>10</v>
      </c>
      <c r="D82" s="8" t="s">
        <v>109</v>
      </c>
      <c r="E82" s="7" t="str">
        <f t="shared" si="7"/>
        <v>31</v>
      </c>
    </row>
    <row r="83" spans="1:5" x14ac:dyDescent="0.25">
      <c r="A83" s="9" t="str">
        <f t="shared" si="5"/>
        <v>00 STATUS - IDLE</v>
      </c>
      <c r="B83" t="s">
        <v>132</v>
      </c>
      <c r="C83" s="7" t="str">
        <f t="shared" si="6"/>
        <v>31</v>
      </c>
      <c r="D83" s="8" t="s">
        <v>109</v>
      </c>
      <c r="E83" s="7" t="str">
        <f t="shared" si="7"/>
        <v>10</v>
      </c>
    </row>
    <row r="84" spans="1:5" x14ac:dyDescent="0.25">
      <c r="A84" s="9" t="str">
        <f t="shared" si="5"/>
        <v>84 REQUEST MORE TEXT FIELDS - SEND MAGAZINE INFO</v>
      </c>
      <c r="B84" t="s">
        <v>125</v>
      </c>
      <c r="C84" s="7" t="str">
        <f t="shared" si="6"/>
        <v>10</v>
      </c>
      <c r="D84" s="8" t="s">
        <v>109</v>
      </c>
      <c r="E84" s="7" t="str">
        <f t="shared" si="7"/>
        <v>31</v>
      </c>
    </row>
    <row r="85" spans="1:5" x14ac:dyDescent="0.25">
      <c r="A85" s="9" t="str">
        <f t="shared" si="5"/>
        <v>01 MASTER REQUEST - TIME POLL</v>
      </c>
      <c r="B85" t="s">
        <v>126</v>
      </c>
      <c r="C85" s="7" t="str">
        <f t="shared" si="6"/>
        <v>10</v>
      </c>
      <c r="D85" s="8" t="s">
        <v>109</v>
      </c>
      <c r="E85" s="7" t="str">
        <f t="shared" si="7"/>
        <v>31</v>
      </c>
    </row>
    <row r="86" spans="1:5" x14ac:dyDescent="0.25">
      <c r="A86" s="9" t="str">
        <f t="shared" si="5"/>
        <v>00 STATUS - IDLE</v>
      </c>
      <c r="B86" t="s">
        <v>132</v>
      </c>
      <c r="C86" s="7" t="str">
        <f t="shared" si="6"/>
        <v>31</v>
      </c>
      <c r="D86" s="8" t="s">
        <v>109</v>
      </c>
      <c r="E86" s="7" t="str">
        <f t="shared" si="7"/>
        <v>10</v>
      </c>
    </row>
    <row r="87" spans="1:5" x14ac:dyDescent="0.25">
      <c r="A87" s="9" t="str">
        <f t="shared" si="5"/>
        <v>84 REQUEST MORE TEXT FIELDS - SEND DISC INFO</v>
      </c>
      <c r="B87" t="s">
        <v>127</v>
      </c>
      <c r="C87" s="7" t="str">
        <f t="shared" si="6"/>
        <v>10</v>
      </c>
      <c r="D87" s="8" t="s">
        <v>109</v>
      </c>
      <c r="E87" s="7" t="str">
        <f t="shared" si="7"/>
        <v>31</v>
      </c>
    </row>
    <row r="88" spans="1:5" x14ac:dyDescent="0.25">
      <c r="A88" s="9" t="str">
        <f t="shared" si="5"/>
        <v>01 MASTER REQUEST - SLAVE POLL</v>
      </c>
      <c r="B88" t="s">
        <v>122</v>
      </c>
      <c r="C88" s="7" t="str">
        <f t="shared" si="6"/>
        <v>10</v>
      </c>
      <c r="D88" s="8" t="s">
        <v>109</v>
      </c>
      <c r="E88" s="7" t="str">
        <f t="shared" si="7"/>
        <v>31</v>
      </c>
    </row>
    <row r="89" spans="1:5" x14ac:dyDescent="0.25">
      <c r="A89" s="9" t="str">
        <f t="shared" si="5"/>
        <v>95 MAGAZINE INFO - CD1 YES, CD2 NO, CD3 NO, CD4 NO, CD5 NO, CD6 NO</v>
      </c>
      <c r="B89" t="s">
        <v>175</v>
      </c>
      <c r="C89" s="7" t="str">
        <f t="shared" si="6"/>
        <v>31</v>
      </c>
      <c r="D89" s="8" t="s">
        <v>109</v>
      </c>
      <c r="E89" s="7" t="str">
        <f t="shared" si="7"/>
        <v>10</v>
      </c>
    </row>
    <row r="90" spans="1:5" x14ac:dyDescent="0.25">
      <c r="A90" s="9" t="str">
        <f t="shared" si="5"/>
        <v>01 MASTER REQUEST - SLAVE POLL</v>
      </c>
      <c r="B90" t="s">
        <v>122</v>
      </c>
      <c r="C90" s="7" t="str">
        <f t="shared" si="6"/>
        <v>10</v>
      </c>
      <c r="D90" s="8" t="s">
        <v>109</v>
      </c>
      <c r="E90" s="7" t="str">
        <f t="shared" si="7"/>
        <v>31</v>
      </c>
    </row>
    <row r="91" spans="1:5" x14ac:dyDescent="0.25">
      <c r="A91" s="9" t="str">
        <f t="shared" si="5"/>
        <v>97 DISC INFO - TRACKS: 20, MINS: 79, SECS: 46, DISC: 2</v>
      </c>
      <c r="B91" t="s">
        <v>176</v>
      </c>
      <c r="C91" s="7" t="str">
        <f t="shared" si="6"/>
        <v>31</v>
      </c>
      <c r="D91" s="8" t="s">
        <v>109</v>
      </c>
      <c r="E91" s="7" t="str">
        <f t="shared" si="7"/>
        <v>10</v>
      </c>
    </row>
    <row r="92" spans="1:5" x14ac:dyDescent="0.25">
      <c r="A92" s="9" t="str">
        <f t="shared" si="5"/>
        <v>01 MASTER REQUEST - SLAVE POLL</v>
      </c>
      <c r="B92" t="s">
        <v>122</v>
      </c>
      <c r="C92" s="7" t="str">
        <f t="shared" si="6"/>
        <v>10</v>
      </c>
      <c r="D92" s="8" t="s">
        <v>109</v>
      </c>
      <c r="E92" s="7" t="str">
        <f t="shared" si="7"/>
        <v>31</v>
      </c>
    </row>
    <row r="93" spans="1:5" x14ac:dyDescent="0.25">
      <c r="A93" s="9" t="str">
        <f t="shared" si="5"/>
        <v>00 STATUS - IDLE</v>
      </c>
      <c r="B93" t="s">
        <v>132</v>
      </c>
      <c r="C93" s="7" t="str">
        <f t="shared" si="6"/>
        <v>31</v>
      </c>
      <c r="D93" s="8" t="s">
        <v>109</v>
      </c>
      <c r="E93" s="7" t="str">
        <f t="shared" si="7"/>
        <v>10</v>
      </c>
    </row>
    <row r="94" spans="1:5" x14ac:dyDescent="0.25">
      <c r="A94" s="9" t="str">
        <f t="shared" si="5"/>
        <v>84 REQUEST MORE TEXT FIELDS - SEND MAGAZINE INFO</v>
      </c>
      <c r="B94" t="s">
        <v>125</v>
      </c>
      <c r="C94" s="7" t="str">
        <f t="shared" si="6"/>
        <v>10</v>
      </c>
      <c r="D94" s="8" t="s">
        <v>109</v>
      </c>
      <c r="E94" s="7" t="str">
        <f t="shared" si="7"/>
        <v>31</v>
      </c>
    </row>
    <row r="95" spans="1:5" x14ac:dyDescent="0.25">
      <c r="A95" s="9" t="str">
        <f t="shared" si="5"/>
        <v>01 MASTER REQUEST - TIME POLL</v>
      </c>
      <c r="B95" t="s">
        <v>126</v>
      </c>
      <c r="C95" s="7" t="str">
        <f t="shared" si="6"/>
        <v>10</v>
      </c>
      <c r="D95" s="8" t="s">
        <v>109</v>
      </c>
      <c r="E95" s="7" t="str">
        <f t="shared" si="7"/>
        <v>31</v>
      </c>
    </row>
    <row r="96" spans="1:5" x14ac:dyDescent="0.25">
      <c r="A96" s="9" t="str">
        <f t="shared" si="5"/>
        <v>00 STATUS - IDLE</v>
      </c>
      <c r="B96" t="s">
        <v>132</v>
      </c>
      <c r="C96" s="7" t="str">
        <f t="shared" si="6"/>
        <v>31</v>
      </c>
      <c r="D96" s="8" t="s">
        <v>109</v>
      </c>
      <c r="E96" s="7" t="str">
        <f t="shared" si="7"/>
        <v>10</v>
      </c>
    </row>
    <row r="97" spans="1:5" x14ac:dyDescent="0.25">
      <c r="A97" s="9" t="str">
        <f t="shared" si="5"/>
        <v>84 REQUEST MORE TEXT FIELDS - SEND DISC INFO</v>
      </c>
      <c r="B97" t="s">
        <v>127</v>
      </c>
      <c r="C97" s="7" t="str">
        <f t="shared" si="6"/>
        <v>10</v>
      </c>
      <c r="D97" s="8" t="s">
        <v>109</v>
      </c>
      <c r="E97" s="7" t="str">
        <f t="shared" si="7"/>
        <v>31</v>
      </c>
    </row>
    <row r="98" spans="1:5" x14ac:dyDescent="0.25">
      <c r="A98" s="9" t="str">
        <f t="shared" si="5"/>
        <v>01 MASTER REQUEST - SLAVE POLL</v>
      </c>
      <c r="B98" t="s">
        <v>122</v>
      </c>
      <c r="C98" s="7" t="str">
        <f t="shared" si="6"/>
        <v>10</v>
      </c>
      <c r="D98" s="8" t="s">
        <v>109</v>
      </c>
      <c r="E98" s="7" t="str">
        <f t="shared" si="7"/>
        <v>31</v>
      </c>
    </row>
    <row r="99" spans="1:5" x14ac:dyDescent="0.25">
      <c r="A99" s="9" t="str">
        <f t="shared" si="5"/>
        <v>95 MAGAZINE INFO - CD1 YES, CD2 NO, CD3 NO, CD4 NO, CD5 NO, CD6 NO</v>
      </c>
      <c r="B99" t="s">
        <v>175</v>
      </c>
      <c r="C99" s="7" t="str">
        <f t="shared" si="6"/>
        <v>31</v>
      </c>
      <c r="D99" s="8" t="s">
        <v>109</v>
      </c>
      <c r="E99" s="7" t="str">
        <f t="shared" si="7"/>
        <v>10</v>
      </c>
    </row>
    <row r="100" spans="1:5" x14ac:dyDescent="0.25">
      <c r="A100" s="9" t="str">
        <f t="shared" si="5"/>
        <v>01 MASTER REQUEST - SLAVE POLL</v>
      </c>
      <c r="B100" t="s">
        <v>122</v>
      </c>
      <c r="C100" s="7" t="str">
        <f t="shared" si="6"/>
        <v>10</v>
      </c>
      <c r="D100" s="8" t="s">
        <v>109</v>
      </c>
      <c r="E100" s="7" t="str">
        <f t="shared" si="7"/>
        <v>31</v>
      </c>
    </row>
    <row r="101" spans="1:5" x14ac:dyDescent="0.25">
      <c r="A101" s="9" t="str">
        <f t="shared" si="5"/>
        <v>97 DISC INFO - TRACKS: 20, MINS: 79, SECS: 46, DISC: 2</v>
      </c>
      <c r="B101" t="s">
        <v>176</v>
      </c>
      <c r="C101" s="7" t="str">
        <f t="shared" si="6"/>
        <v>31</v>
      </c>
      <c r="D101" s="8" t="s">
        <v>109</v>
      </c>
      <c r="E101" s="7" t="str">
        <f t="shared" si="7"/>
        <v>10</v>
      </c>
    </row>
    <row r="102" spans="1:5" x14ac:dyDescent="0.25">
      <c r="A102" s="9" t="str">
        <f t="shared" si="5"/>
        <v>84 REQUEST MORE TEXT FIELDS - SEND MAGAZINE INFO</v>
      </c>
      <c r="B102" t="s">
        <v>125</v>
      </c>
      <c r="C102" s="7" t="str">
        <f t="shared" si="6"/>
        <v>10</v>
      </c>
      <c r="D102" s="8" t="s">
        <v>109</v>
      </c>
      <c r="E102" s="7" t="str">
        <f t="shared" si="7"/>
        <v>31</v>
      </c>
    </row>
    <row r="103" spans="1:5" x14ac:dyDescent="0.25">
      <c r="A103" s="9" t="str">
        <f t="shared" si="5"/>
        <v>01 MASTER REQUEST - TIME POLL</v>
      </c>
      <c r="B103" t="s">
        <v>126</v>
      </c>
      <c r="C103" s="7" t="str">
        <f t="shared" si="6"/>
        <v>10</v>
      </c>
      <c r="D103" s="8" t="s">
        <v>109</v>
      </c>
      <c r="E103" s="7" t="str">
        <f t="shared" si="7"/>
        <v>31</v>
      </c>
    </row>
    <row r="104" spans="1:5" x14ac:dyDescent="0.25">
      <c r="A104" s="9" t="str">
        <f t="shared" si="5"/>
        <v>00 STATUS - IDLE</v>
      </c>
      <c r="B104" t="s">
        <v>132</v>
      </c>
      <c r="C104" s="7" t="str">
        <f t="shared" si="6"/>
        <v>31</v>
      </c>
      <c r="D104" s="8" t="s">
        <v>109</v>
      </c>
      <c r="E104" s="7" t="str">
        <f t="shared" si="7"/>
        <v>10</v>
      </c>
    </row>
    <row r="105" spans="1:5" x14ac:dyDescent="0.25">
      <c r="A105" s="9" t="str">
        <f t="shared" si="5"/>
        <v>84 REQUEST MORE TEXT FIELDS - SEND DISC INFO</v>
      </c>
      <c r="B105" t="s">
        <v>127</v>
      </c>
      <c r="C105" s="7" t="str">
        <f t="shared" si="6"/>
        <v>10</v>
      </c>
      <c r="D105" s="8" t="s">
        <v>109</v>
      </c>
      <c r="E105" s="7" t="str">
        <f t="shared" si="7"/>
        <v>31</v>
      </c>
    </row>
    <row r="106" spans="1:5" x14ac:dyDescent="0.25">
      <c r="A106" s="9" t="str">
        <f t="shared" si="5"/>
        <v>01 MASTER REQUEST - SLAVE POLL</v>
      </c>
      <c r="B106" t="s">
        <v>122</v>
      </c>
      <c r="C106" s="7" t="str">
        <f t="shared" si="6"/>
        <v>10</v>
      </c>
      <c r="D106" s="8" t="s">
        <v>109</v>
      </c>
      <c r="E106" s="7" t="str">
        <f t="shared" si="7"/>
        <v>31</v>
      </c>
    </row>
    <row r="107" spans="1:5" x14ac:dyDescent="0.25">
      <c r="A107" s="9" t="str">
        <f t="shared" si="5"/>
        <v>95 MAGAZINE INFO - CD1 YES, CD2 NO, CD3 NO, CD4 NO, CD5 NO, CD6 NO</v>
      </c>
      <c r="B107" t="s">
        <v>175</v>
      </c>
      <c r="C107" s="7" t="str">
        <f t="shared" si="6"/>
        <v>31</v>
      </c>
      <c r="D107" s="8" t="s">
        <v>109</v>
      </c>
      <c r="E107" s="7" t="str">
        <f t="shared" si="7"/>
        <v>10</v>
      </c>
    </row>
    <row r="108" spans="1:5" x14ac:dyDescent="0.25">
      <c r="A108" s="9" t="str">
        <f t="shared" si="5"/>
        <v>01 MASTER REQUEST - SLAVE POLL</v>
      </c>
      <c r="B108" t="s">
        <v>122</v>
      </c>
      <c r="C108" s="7" t="str">
        <f t="shared" si="6"/>
        <v>10</v>
      </c>
      <c r="D108" s="8" t="s">
        <v>109</v>
      </c>
      <c r="E108" s="7" t="str">
        <f t="shared" si="7"/>
        <v>31</v>
      </c>
    </row>
    <row r="109" spans="1:5" x14ac:dyDescent="0.25">
      <c r="A109" s="9" t="str">
        <f t="shared" si="5"/>
        <v>97 DISC INFO - TRACKS: 20, MINS: 79, SECS: 46, DISC: 2</v>
      </c>
      <c r="B109" t="s">
        <v>176</v>
      </c>
      <c r="C109" s="7" t="str">
        <f t="shared" si="6"/>
        <v>31</v>
      </c>
      <c r="D109" s="8" t="s">
        <v>109</v>
      </c>
      <c r="E109" s="7" t="str">
        <f t="shared" si="7"/>
        <v>10</v>
      </c>
    </row>
    <row r="110" spans="1:5" x14ac:dyDescent="0.25">
      <c r="A110" s="9" t="str">
        <f t="shared" si="5"/>
        <v>84 REQUEST MORE TEXT FIELDS - SEND MAGAZINE INFO</v>
      </c>
      <c r="B110" t="s">
        <v>125</v>
      </c>
      <c r="C110" s="7" t="str">
        <f t="shared" si="6"/>
        <v>10</v>
      </c>
      <c r="D110" s="8" t="s">
        <v>109</v>
      </c>
      <c r="E110" s="7" t="str">
        <f t="shared" si="7"/>
        <v>31</v>
      </c>
    </row>
    <row r="111" spans="1:5" x14ac:dyDescent="0.25">
      <c r="A111" s="9" t="str">
        <f t="shared" si="5"/>
        <v>01 MASTER REQUEST - TIME POLL</v>
      </c>
      <c r="B111" t="s">
        <v>126</v>
      </c>
      <c r="C111" s="7" t="str">
        <f t="shared" si="6"/>
        <v>10</v>
      </c>
      <c r="D111" s="8" t="s">
        <v>109</v>
      </c>
      <c r="E111" s="7" t="str">
        <f t="shared" si="7"/>
        <v>31</v>
      </c>
    </row>
    <row r="112" spans="1:5" x14ac:dyDescent="0.25">
      <c r="A112" s="9" t="str">
        <f t="shared" si="5"/>
        <v>00 STATUS - IDLE</v>
      </c>
      <c r="B112" t="s">
        <v>132</v>
      </c>
      <c r="C112" s="7" t="str">
        <f t="shared" si="6"/>
        <v>31</v>
      </c>
      <c r="D112" s="8" t="s">
        <v>109</v>
      </c>
      <c r="E112" s="7" t="str">
        <f t="shared" si="7"/>
        <v>10</v>
      </c>
    </row>
    <row r="113" spans="1:5" x14ac:dyDescent="0.25">
      <c r="A113" s="9" t="str">
        <f t="shared" si="5"/>
        <v>84 REQUEST MORE TEXT FIELDS - SEND DISC INFO</v>
      </c>
      <c r="B113" t="s">
        <v>127</v>
      </c>
      <c r="C113" s="7" t="str">
        <f t="shared" si="6"/>
        <v>10</v>
      </c>
      <c r="D113" s="8" t="s">
        <v>109</v>
      </c>
      <c r="E113" s="7" t="str">
        <f t="shared" si="7"/>
        <v>31</v>
      </c>
    </row>
    <row r="114" spans="1:5" x14ac:dyDescent="0.25">
      <c r="A114" s="9" t="str">
        <f t="shared" si="5"/>
        <v>01 MASTER REQUEST - SLAVE POLL</v>
      </c>
      <c r="B114" t="s">
        <v>122</v>
      </c>
      <c r="C114" s="7" t="str">
        <f t="shared" si="6"/>
        <v>10</v>
      </c>
      <c r="D114" s="8" t="s">
        <v>109</v>
      </c>
      <c r="E114" s="7" t="str">
        <f t="shared" si="7"/>
        <v>31</v>
      </c>
    </row>
    <row r="115" spans="1:5" x14ac:dyDescent="0.25">
      <c r="A115" s="9" t="str">
        <f t="shared" si="5"/>
        <v>95 MAGAZINE INFO - CD1 YES, CD2 NO, CD3 NO, CD4 NO, CD5 NO, CD6 NO</v>
      </c>
      <c r="B115" t="s">
        <v>175</v>
      </c>
      <c r="C115" s="7" t="str">
        <f t="shared" si="6"/>
        <v>31</v>
      </c>
      <c r="D115" s="8" t="s">
        <v>109</v>
      </c>
      <c r="E115" s="7" t="str">
        <f t="shared" si="7"/>
        <v>10</v>
      </c>
    </row>
    <row r="116" spans="1:5" x14ac:dyDescent="0.25">
      <c r="A116" s="9" t="str">
        <f t="shared" si="5"/>
        <v>01 MASTER REQUEST - SLAVE POLL</v>
      </c>
      <c r="B116" t="s">
        <v>122</v>
      </c>
      <c r="C116" s="7" t="str">
        <f t="shared" si="6"/>
        <v>10</v>
      </c>
      <c r="D116" s="8" t="s">
        <v>109</v>
      </c>
      <c r="E116" s="7" t="str">
        <f t="shared" si="7"/>
        <v>31</v>
      </c>
    </row>
    <row r="117" spans="1:5" x14ac:dyDescent="0.25">
      <c r="A117" s="9" t="str">
        <f t="shared" si="5"/>
        <v>97 DISC INFO - TRACKS: 20, MINS: 79, SECS: 46, DISC: 2</v>
      </c>
      <c r="B117" t="s">
        <v>176</v>
      </c>
      <c r="C117" s="7" t="str">
        <f t="shared" si="6"/>
        <v>31</v>
      </c>
      <c r="D117" s="8" t="s">
        <v>109</v>
      </c>
      <c r="E117" s="7" t="str">
        <f t="shared" si="7"/>
        <v>10</v>
      </c>
    </row>
    <row r="118" spans="1:5" x14ac:dyDescent="0.25">
      <c r="A118" s="9" t="str">
        <f t="shared" si="5"/>
        <v>84 REQUEST MORE TEXT FIELDS - SEND MAGAZINE INFO</v>
      </c>
      <c r="B118" t="s">
        <v>125</v>
      </c>
      <c r="C118" s="7" t="str">
        <f t="shared" si="6"/>
        <v>10</v>
      </c>
      <c r="D118" s="8" t="s">
        <v>109</v>
      </c>
      <c r="E118" s="7" t="str">
        <f t="shared" si="7"/>
        <v>31</v>
      </c>
    </row>
    <row r="119" spans="1:5" x14ac:dyDescent="0.25">
      <c r="A119" s="9" t="str">
        <f t="shared" si="5"/>
        <v>01 MASTER REQUEST - TIME POLL</v>
      </c>
      <c r="B119" t="s">
        <v>126</v>
      </c>
      <c r="C119" s="7" t="str">
        <f t="shared" si="6"/>
        <v>10</v>
      </c>
      <c r="D119" s="8" t="s">
        <v>109</v>
      </c>
      <c r="E119" s="7" t="str">
        <f t="shared" si="7"/>
        <v>31</v>
      </c>
    </row>
    <row r="120" spans="1:5" x14ac:dyDescent="0.25">
      <c r="A120" s="9" t="str">
        <f t="shared" si="5"/>
        <v>00 STATUS - IDLE</v>
      </c>
      <c r="B120" t="s">
        <v>132</v>
      </c>
      <c r="C120" s="7" t="str">
        <f t="shared" si="6"/>
        <v>31</v>
      </c>
      <c r="D120" s="8" t="s">
        <v>109</v>
      </c>
      <c r="E120" s="7" t="str">
        <f t="shared" si="7"/>
        <v>10</v>
      </c>
    </row>
    <row r="121" spans="1:5" x14ac:dyDescent="0.25">
      <c r="A121" s="9" t="str">
        <f t="shared" si="5"/>
        <v>84 REQUEST MORE TEXT FIELDS - SEND DISC INFO</v>
      </c>
      <c r="B121" t="s">
        <v>127</v>
      </c>
      <c r="C121" s="7" t="str">
        <f t="shared" si="6"/>
        <v>10</v>
      </c>
      <c r="D121" s="8" t="s">
        <v>109</v>
      </c>
      <c r="E121" s="7" t="str">
        <f t="shared" si="7"/>
        <v>31</v>
      </c>
    </row>
    <row r="122" spans="1:5" x14ac:dyDescent="0.25">
      <c r="A122" s="9" t="str">
        <f t="shared" si="5"/>
        <v>01 MASTER REQUEST - SLAVE POLL</v>
      </c>
      <c r="B122" t="s">
        <v>122</v>
      </c>
      <c r="C122" s="7" t="str">
        <f t="shared" si="6"/>
        <v>10</v>
      </c>
      <c r="D122" s="8" t="s">
        <v>109</v>
      </c>
      <c r="E122" s="7" t="str">
        <f t="shared" si="7"/>
        <v>31</v>
      </c>
    </row>
    <row r="123" spans="1:5" x14ac:dyDescent="0.25">
      <c r="A123" s="9" t="str">
        <f t="shared" si="5"/>
        <v>95 MAGAZINE INFO - CD1 YES, CD2 NO, CD3 NO, CD4 NO, CD5 NO, CD6 NO</v>
      </c>
      <c r="B123" t="s">
        <v>177</v>
      </c>
      <c r="C123" s="7" t="str">
        <f t="shared" si="6"/>
        <v>31</v>
      </c>
      <c r="D123" s="8" t="s">
        <v>109</v>
      </c>
      <c r="E123" s="7" t="str">
        <f t="shared" si="7"/>
        <v>10</v>
      </c>
    </row>
    <row r="124" spans="1:5" x14ac:dyDescent="0.25">
      <c r="A124" s="9" t="str">
        <f t="shared" si="5"/>
        <v>01 MASTER REQUEST - SLAVE POLL</v>
      </c>
      <c r="B124" t="s">
        <v>122</v>
      </c>
      <c r="C124" s="7" t="str">
        <f t="shared" si="6"/>
        <v>10</v>
      </c>
      <c r="D124" s="8" t="s">
        <v>109</v>
      </c>
      <c r="E124" s="7" t="str">
        <f t="shared" si="7"/>
        <v>31</v>
      </c>
    </row>
    <row r="125" spans="1:5" x14ac:dyDescent="0.25">
      <c r="A125" s="9" t="str">
        <f t="shared" si="5"/>
        <v>97 DISC INFO - TRACKS: 20, MINS: 79, SECS: 46, DISC: 2</v>
      </c>
      <c r="B125" t="s">
        <v>176</v>
      </c>
      <c r="C125" s="7" t="str">
        <f t="shared" si="6"/>
        <v>31</v>
      </c>
      <c r="D125" s="8" t="s">
        <v>109</v>
      </c>
      <c r="E125" s="7" t="str">
        <f t="shared" si="7"/>
        <v>10</v>
      </c>
    </row>
    <row r="126" spans="1:5" x14ac:dyDescent="0.25">
      <c r="A126" s="9" t="str">
        <f t="shared" si="5"/>
        <v>01 MASTER REQUEST - SLAVE POLL</v>
      </c>
      <c r="B126" t="s">
        <v>122</v>
      </c>
      <c r="C126" s="7" t="str">
        <f t="shared" si="6"/>
        <v>10</v>
      </c>
      <c r="D126" s="8" t="s">
        <v>109</v>
      </c>
      <c r="E126" s="7" t="str">
        <f t="shared" si="7"/>
        <v>31</v>
      </c>
    </row>
    <row r="127" spans="1:5" x14ac:dyDescent="0.25">
      <c r="A127" s="9" t="str">
        <f t="shared" si="5"/>
        <v>00 STATUS - IDLE</v>
      </c>
      <c r="B127" t="s">
        <v>132</v>
      </c>
      <c r="C127" s="7" t="str">
        <f t="shared" si="6"/>
        <v>31</v>
      </c>
      <c r="D127" s="8" t="s">
        <v>109</v>
      </c>
      <c r="E127" s="7" t="str">
        <f t="shared" si="7"/>
        <v>10</v>
      </c>
    </row>
    <row r="128" spans="1:5" x14ac:dyDescent="0.25">
      <c r="A128" s="9" t="str">
        <f t="shared" si="5"/>
        <v>84 REQUEST MORE TEXT FIELDS - SEND MAGAZINE INFO</v>
      </c>
      <c r="B128" t="s">
        <v>125</v>
      </c>
      <c r="C128" s="7" t="str">
        <f t="shared" si="6"/>
        <v>10</v>
      </c>
      <c r="D128" s="8" t="s">
        <v>109</v>
      </c>
      <c r="E128" s="7" t="str">
        <f t="shared" si="7"/>
        <v>31</v>
      </c>
    </row>
    <row r="129" spans="1:5" x14ac:dyDescent="0.25">
      <c r="A129" s="9" t="str">
        <f t="shared" si="5"/>
        <v>01 MASTER REQUEST - TIME POLL</v>
      </c>
      <c r="B129" t="s">
        <v>126</v>
      </c>
      <c r="C129" s="7" t="str">
        <f t="shared" si="6"/>
        <v>10</v>
      </c>
      <c r="D129" s="8" t="s">
        <v>109</v>
      </c>
      <c r="E129" s="7" t="str">
        <f t="shared" si="7"/>
        <v>31</v>
      </c>
    </row>
    <row r="130" spans="1:5" x14ac:dyDescent="0.25">
      <c r="A130" s="9" t="str">
        <f t="shared" si="5"/>
        <v>00 STATUS - IDLE</v>
      </c>
      <c r="B130" t="s">
        <v>132</v>
      </c>
      <c r="C130" s="7" t="str">
        <f t="shared" si="6"/>
        <v>31</v>
      </c>
      <c r="D130" s="8" t="s">
        <v>109</v>
      </c>
      <c r="E130" s="7" t="str">
        <f t="shared" si="7"/>
        <v>10</v>
      </c>
    </row>
    <row r="131" spans="1:5" x14ac:dyDescent="0.25">
      <c r="A131" s="9" t="str">
        <f t="shared" ref="A131:A194" si="8">ParseUnilink(B131)</f>
        <v>84 REQUEST MORE TEXT FIELDS - SEND DISC INFO</v>
      </c>
      <c r="B131" t="s">
        <v>127</v>
      </c>
      <c r="C131" s="7" t="str">
        <f t="shared" ref="C131:C194" si="9">MID(B131,4,2)</f>
        <v>10</v>
      </c>
      <c r="D131" s="8" t="s">
        <v>109</v>
      </c>
      <c r="E131" s="7" t="str">
        <f t="shared" ref="E131:E194" si="10">MID(B131,1,2)</f>
        <v>31</v>
      </c>
    </row>
    <row r="132" spans="1:5" x14ac:dyDescent="0.25">
      <c r="A132" s="9" t="str">
        <f t="shared" si="8"/>
        <v>01 MASTER REQUEST - SLAVE POLL</v>
      </c>
      <c r="B132" t="s">
        <v>122</v>
      </c>
      <c r="C132" s="7" t="str">
        <f t="shared" si="9"/>
        <v>10</v>
      </c>
      <c r="D132" s="8" t="s">
        <v>109</v>
      </c>
      <c r="E132" s="7" t="str">
        <f t="shared" si="10"/>
        <v>31</v>
      </c>
    </row>
    <row r="133" spans="1:5" x14ac:dyDescent="0.25">
      <c r="A133" s="9" t="str">
        <f t="shared" si="8"/>
        <v>95 MAGAZINE INFO - CD1 YES, CD2 NO, CD3 NO, CD4 NO, CD5 NO, CD6 NO</v>
      </c>
      <c r="B133" t="s">
        <v>175</v>
      </c>
      <c r="C133" s="7" t="str">
        <f t="shared" si="9"/>
        <v>31</v>
      </c>
      <c r="D133" s="8" t="s">
        <v>109</v>
      </c>
      <c r="E133" s="7" t="str">
        <f t="shared" si="10"/>
        <v>10</v>
      </c>
    </row>
    <row r="134" spans="1:5" x14ac:dyDescent="0.25">
      <c r="A134" s="9" t="str">
        <f t="shared" si="8"/>
        <v>01 MASTER REQUEST - SLAVE POLL</v>
      </c>
      <c r="B134" t="s">
        <v>122</v>
      </c>
      <c r="C134" s="7" t="str">
        <f t="shared" si="9"/>
        <v>10</v>
      </c>
      <c r="D134" s="8" t="s">
        <v>109</v>
      </c>
      <c r="E134" s="7" t="str">
        <f t="shared" si="10"/>
        <v>31</v>
      </c>
    </row>
    <row r="135" spans="1:5" x14ac:dyDescent="0.25">
      <c r="A135" s="9" t="str">
        <f t="shared" si="8"/>
        <v>97 DISC INFO - TRACKS: 20, MINS: 79, SECS: 46, DISC: 2</v>
      </c>
      <c r="B135" t="s">
        <v>176</v>
      </c>
      <c r="C135" s="7" t="str">
        <f t="shared" si="9"/>
        <v>31</v>
      </c>
      <c r="D135" s="8" t="s">
        <v>109</v>
      </c>
      <c r="E135" s="7" t="str">
        <f t="shared" si="10"/>
        <v>10</v>
      </c>
    </row>
    <row r="136" spans="1:5" x14ac:dyDescent="0.25">
      <c r="A136" s="9" t="str">
        <f t="shared" si="8"/>
        <v>84 REQUEST MORE TEXT FIELDS - SEND MAGAZINE INFO</v>
      </c>
      <c r="B136" t="s">
        <v>125</v>
      </c>
      <c r="C136" s="7" t="str">
        <f t="shared" si="9"/>
        <v>10</v>
      </c>
      <c r="D136" s="8" t="s">
        <v>109</v>
      </c>
      <c r="E136" s="7" t="str">
        <f t="shared" si="10"/>
        <v>31</v>
      </c>
    </row>
    <row r="137" spans="1:5" x14ac:dyDescent="0.25">
      <c r="A137" s="9" t="str">
        <f t="shared" si="8"/>
        <v>01 MASTER REQUEST - TIME POLL</v>
      </c>
      <c r="B137" t="s">
        <v>126</v>
      </c>
      <c r="C137" s="7" t="str">
        <f t="shared" si="9"/>
        <v>10</v>
      </c>
      <c r="D137" s="8" t="s">
        <v>109</v>
      </c>
      <c r="E137" s="7" t="str">
        <f t="shared" si="10"/>
        <v>31</v>
      </c>
    </row>
    <row r="138" spans="1:5" x14ac:dyDescent="0.25">
      <c r="A138" s="9" t="str">
        <f t="shared" si="8"/>
        <v>00 STATUS - IDLE</v>
      </c>
      <c r="B138" t="s">
        <v>132</v>
      </c>
      <c r="C138" s="7" t="str">
        <f t="shared" si="9"/>
        <v>31</v>
      </c>
      <c r="D138" s="8" t="s">
        <v>109</v>
      </c>
      <c r="E138" s="7" t="str">
        <f t="shared" si="10"/>
        <v>10</v>
      </c>
    </row>
    <row r="139" spans="1:5" x14ac:dyDescent="0.25">
      <c r="A139" s="9" t="str">
        <f t="shared" si="8"/>
        <v>84 REQUEST MORE TEXT FIELDS - SEND DISC INFO</v>
      </c>
      <c r="B139" t="s">
        <v>127</v>
      </c>
      <c r="C139" s="7" t="str">
        <f t="shared" si="9"/>
        <v>10</v>
      </c>
      <c r="D139" s="8" t="s">
        <v>109</v>
      </c>
      <c r="E139" s="7" t="str">
        <f t="shared" si="10"/>
        <v>31</v>
      </c>
    </row>
    <row r="140" spans="1:5" x14ac:dyDescent="0.25">
      <c r="A140" s="9" t="str">
        <f t="shared" si="8"/>
        <v>01 MASTER REQUEST - SLAVE POLL</v>
      </c>
      <c r="B140" t="s">
        <v>122</v>
      </c>
      <c r="C140" s="7" t="str">
        <f t="shared" si="9"/>
        <v>10</v>
      </c>
      <c r="D140" s="8" t="s">
        <v>109</v>
      </c>
      <c r="E140" s="7" t="str">
        <f t="shared" si="10"/>
        <v>31</v>
      </c>
    </row>
    <row r="141" spans="1:5" x14ac:dyDescent="0.25">
      <c r="A141" s="9" t="str">
        <f t="shared" si="8"/>
        <v>95 MAGAZINE INFO - CD1 YES, CD2 NO, CD3 NO, CD4 NO, CD5 NO, CD6 NO</v>
      </c>
      <c r="B141" t="s">
        <v>177</v>
      </c>
      <c r="C141" s="7" t="str">
        <f t="shared" si="9"/>
        <v>31</v>
      </c>
      <c r="D141" s="8" t="s">
        <v>109</v>
      </c>
      <c r="E141" s="7" t="str">
        <f t="shared" si="10"/>
        <v>10</v>
      </c>
    </row>
    <row r="142" spans="1:5" x14ac:dyDescent="0.25">
      <c r="A142" s="9" t="str">
        <f t="shared" si="8"/>
        <v>01 MASTER REQUEST - SLAVE POLL</v>
      </c>
      <c r="B142" t="s">
        <v>122</v>
      </c>
      <c r="C142" s="7" t="str">
        <f t="shared" si="9"/>
        <v>10</v>
      </c>
      <c r="D142" s="8" t="s">
        <v>109</v>
      </c>
      <c r="E142" s="7" t="str">
        <f t="shared" si="10"/>
        <v>31</v>
      </c>
    </row>
    <row r="143" spans="1:5" x14ac:dyDescent="0.25">
      <c r="A143" s="9" t="str">
        <f t="shared" si="8"/>
        <v>97 DISC INFO - TRACKS: 20, MINS: 79, SECS: 46, DISC: 2</v>
      </c>
      <c r="B143" t="s">
        <v>176</v>
      </c>
      <c r="C143" s="7" t="str">
        <f t="shared" si="9"/>
        <v>31</v>
      </c>
      <c r="D143" s="8" t="s">
        <v>109</v>
      </c>
      <c r="E143" s="7" t="str">
        <f t="shared" si="10"/>
        <v>10</v>
      </c>
    </row>
    <row r="144" spans="1:5" x14ac:dyDescent="0.25">
      <c r="A144" s="9" t="str">
        <f t="shared" si="8"/>
        <v>84 REQUEST MORE TEXT FIELDS - SEND MAGAZINE INFO</v>
      </c>
      <c r="B144" t="s">
        <v>125</v>
      </c>
      <c r="C144" s="7" t="str">
        <f t="shared" si="9"/>
        <v>10</v>
      </c>
      <c r="D144" s="8" t="s">
        <v>109</v>
      </c>
      <c r="E144" s="7" t="str">
        <f t="shared" si="10"/>
        <v>31</v>
      </c>
    </row>
    <row r="145" spans="1:5" x14ac:dyDescent="0.25">
      <c r="A145" s="9" t="str">
        <f t="shared" si="8"/>
        <v>01 MASTER REQUEST - TIME POLL</v>
      </c>
      <c r="B145" t="s">
        <v>126</v>
      </c>
      <c r="C145" s="7" t="str">
        <f t="shared" si="9"/>
        <v>10</v>
      </c>
      <c r="D145" s="8" t="s">
        <v>109</v>
      </c>
      <c r="E145" s="7" t="str">
        <f t="shared" si="10"/>
        <v>31</v>
      </c>
    </row>
    <row r="146" spans="1:5" x14ac:dyDescent="0.25">
      <c r="A146" s="9" t="str">
        <f t="shared" si="8"/>
        <v>00 STATUS - IDLE</v>
      </c>
      <c r="B146" t="s">
        <v>132</v>
      </c>
      <c r="C146" s="7" t="str">
        <f t="shared" si="9"/>
        <v>31</v>
      </c>
      <c r="D146" s="8" t="s">
        <v>109</v>
      </c>
      <c r="E146" s="7" t="str">
        <f t="shared" si="10"/>
        <v>10</v>
      </c>
    </row>
    <row r="147" spans="1:5" x14ac:dyDescent="0.25">
      <c r="A147" s="9" t="str">
        <f t="shared" si="8"/>
        <v>84 REQUEST MORE TEXT FIELDS - SEND DISC INFO</v>
      </c>
      <c r="B147" t="s">
        <v>127</v>
      </c>
      <c r="C147" s="7" t="str">
        <f t="shared" si="9"/>
        <v>10</v>
      </c>
      <c r="D147" s="8" t="s">
        <v>109</v>
      </c>
      <c r="E147" s="7" t="str">
        <f t="shared" si="10"/>
        <v>31</v>
      </c>
    </row>
    <row r="148" spans="1:5" x14ac:dyDescent="0.25">
      <c r="A148" s="9" t="str">
        <f t="shared" si="8"/>
        <v>01 MASTER REQUEST - SLAVE POLL</v>
      </c>
      <c r="B148" t="s">
        <v>122</v>
      </c>
      <c r="C148" s="7" t="str">
        <f t="shared" si="9"/>
        <v>10</v>
      </c>
      <c r="D148" s="8" t="s">
        <v>109</v>
      </c>
      <c r="E148" s="7" t="str">
        <f t="shared" si="10"/>
        <v>31</v>
      </c>
    </row>
    <row r="149" spans="1:5" x14ac:dyDescent="0.25">
      <c r="A149" s="9" t="str">
        <f t="shared" si="8"/>
        <v>95 MAGAZINE INFO - CD1 YES, CD2 NO, CD3 NO, CD4 NO, CD5 NO, CD6 NO</v>
      </c>
      <c r="B149" t="s">
        <v>175</v>
      </c>
      <c r="C149" s="7" t="str">
        <f t="shared" si="9"/>
        <v>31</v>
      </c>
      <c r="D149" s="8" t="s">
        <v>109</v>
      </c>
      <c r="E149" s="7" t="str">
        <f t="shared" si="10"/>
        <v>10</v>
      </c>
    </row>
    <row r="150" spans="1:5" x14ac:dyDescent="0.25">
      <c r="A150" s="9" t="str">
        <f t="shared" si="8"/>
        <v>01 MASTER REQUEST - SLAVE POLL</v>
      </c>
      <c r="B150" t="s">
        <v>122</v>
      </c>
      <c r="C150" s="7" t="str">
        <f t="shared" si="9"/>
        <v>10</v>
      </c>
      <c r="D150" s="8" t="s">
        <v>109</v>
      </c>
      <c r="E150" s="7" t="str">
        <f t="shared" si="10"/>
        <v>31</v>
      </c>
    </row>
    <row r="151" spans="1:5" x14ac:dyDescent="0.25">
      <c r="A151" s="9" t="str">
        <f t="shared" si="8"/>
        <v>97 DISC INFO - TRACKS: 10, MINS: 50, SECS: 13, DISC: 2</v>
      </c>
      <c r="B151" t="s">
        <v>154</v>
      </c>
      <c r="C151" s="7" t="str">
        <f t="shared" si="9"/>
        <v>31</v>
      </c>
      <c r="D151" s="8" t="s">
        <v>109</v>
      </c>
      <c r="E151" s="7" t="str">
        <f t="shared" si="10"/>
        <v>10</v>
      </c>
    </row>
    <row r="152" spans="1:5" x14ac:dyDescent="0.25">
      <c r="A152" s="9" t="str">
        <f t="shared" si="8"/>
        <v>01 MASTER REQUEST - SLAVE POLL</v>
      </c>
      <c r="B152" t="s">
        <v>122</v>
      </c>
      <c r="C152" s="7" t="str">
        <f t="shared" si="9"/>
        <v>10</v>
      </c>
      <c r="D152" s="8" t="s">
        <v>109</v>
      </c>
      <c r="E152" s="7" t="str">
        <f t="shared" si="10"/>
        <v>31</v>
      </c>
    </row>
    <row r="153" spans="1:5" x14ac:dyDescent="0.25">
      <c r="A153" s="9" t="str">
        <f t="shared" si="8"/>
        <v>00 STATUS - IDLE</v>
      </c>
      <c r="B153" t="s">
        <v>132</v>
      </c>
      <c r="C153" s="7" t="str">
        <f t="shared" si="9"/>
        <v>31</v>
      </c>
      <c r="D153" s="8" t="s">
        <v>109</v>
      </c>
      <c r="E153" s="7" t="str">
        <f t="shared" si="10"/>
        <v>10</v>
      </c>
    </row>
    <row r="154" spans="1:5" x14ac:dyDescent="0.25">
      <c r="A154" s="9" t="str">
        <f t="shared" si="8"/>
        <v>01 MASTER REQUEST - SLAVE POLL</v>
      </c>
      <c r="B154" t="s">
        <v>122</v>
      </c>
      <c r="C154" s="7" t="str">
        <f t="shared" si="9"/>
        <v>10</v>
      </c>
      <c r="D154" s="8" t="s">
        <v>109</v>
      </c>
      <c r="E154" s="7" t="str">
        <f t="shared" si="10"/>
        <v>31</v>
      </c>
    </row>
    <row r="155" spans="1:5" x14ac:dyDescent="0.25">
      <c r="A155" s="9" t="str">
        <f t="shared" si="8"/>
        <v>95 MAGAZINE INFO - CD1 YES, CD2 YES, CD3 NO, CD4 NO, CD5 NO, CD6 NO</v>
      </c>
      <c r="B155" t="s">
        <v>178</v>
      </c>
      <c r="C155" s="7" t="str">
        <f t="shared" si="9"/>
        <v>31</v>
      </c>
      <c r="D155" s="8" t="s">
        <v>109</v>
      </c>
      <c r="E155" s="7" t="str">
        <f t="shared" si="10"/>
        <v>70</v>
      </c>
    </row>
    <row r="156" spans="1:5" x14ac:dyDescent="0.25">
      <c r="A156" s="9" t="str">
        <f t="shared" si="8"/>
        <v>01 MASTER REQUEST - SLAVE POLL</v>
      </c>
      <c r="B156" t="s">
        <v>122</v>
      </c>
      <c r="C156" s="7" t="str">
        <f t="shared" si="9"/>
        <v>10</v>
      </c>
      <c r="D156" s="8" t="s">
        <v>109</v>
      </c>
      <c r="E156" s="7" t="str">
        <f t="shared" si="10"/>
        <v>31</v>
      </c>
    </row>
    <row r="157" spans="1:5" x14ac:dyDescent="0.25">
      <c r="A157" s="9" t="str">
        <f t="shared" si="8"/>
        <v>00 STATUS - IDLE</v>
      </c>
      <c r="B157" t="s">
        <v>132</v>
      </c>
      <c r="C157" s="7" t="str">
        <f t="shared" si="9"/>
        <v>31</v>
      </c>
      <c r="D157" s="8" t="s">
        <v>109</v>
      </c>
      <c r="E157" s="7" t="str">
        <f t="shared" si="10"/>
        <v>10</v>
      </c>
    </row>
    <row r="158" spans="1:5" x14ac:dyDescent="0.25">
      <c r="A158" s="9" t="str">
        <f t="shared" si="8"/>
        <v>84 REQUEST MORE TEXT FIELDS - SEND MAGAZINE INFO</v>
      </c>
      <c r="B158" t="s">
        <v>125</v>
      </c>
      <c r="C158" s="7" t="str">
        <f t="shared" si="9"/>
        <v>10</v>
      </c>
      <c r="D158" s="8" t="s">
        <v>109</v>
      </c>
      <c r="E158" s="7" t="str">
        <f t="shared" si="10"/>
        <v>31</v>
      </c>
    </row>
    <row r="159" spans="1:5" x14ac:dyDescent="0.25">
      <c r="A159" s="9" t="str">
        <f t="shared" si="8"/>
        <v>01 MASTER REQUEST - TIME POLL</v>
      </c>
      <c r="B159" t="s">
        <v>126</v>
      </c>
      <c r="C159" s="7" t="str">
        <f t="shared" si="9"/>
        <v>10</v>
      </c>
      <c r="D159" s="8" t="s">
        <v>109</v>
      </c>
      <c r="E159" s="7" t="str">
        <f t="shared" si="10"/>
        <v>31</v>
      </c>
    </row>
    <row r="160" spans="1:5" x14ac:dyDescent="0.25">
      <c r="A160" s="9" t="str">
        <f t="shared" si="8"/>
        <v>00 STATUS - IDLE</v>
      </c>
      <c r="B160" t="s">
        <v>132</v>
      </c>
      <c r="C160" s="7" t="str">
        <f t="shared" si="9"/>
        <v>31</v>
      </c>
      <c r="D160" s="8" t="s">
        <v>109</v>
      </c>
      <c r="E160" s="7" t="str">
        <f t="shared" si="10"/>
        <v>10</v>
      </c>
    </row>
    <row r="161" spans="1:5" x14ac:dyDescent="0.25">
      <c r="A161" s="9" t="str">
        <f t="shared" si="8"/>
        <v>84 REQUEST MORE TEXT FIELDS - SEND DISC INFO</v>
      </c>
      <c r="B161" t="s">
        <v>127</v>
      </c>
      <c r="C161" s="7" t="str">
        <f t="shared" si="9"/>
        <v>10</v>
      </c>
      <c r="D161" s="8" t="s">
        <v>109</v>
      </c>
      <c r="E161" s="7" t="str">
        <f t="shared" si="10"/>
        <v>31</v>
      </c>
    </row>
    <row r="162" spans="1:5" x14ac:dyDescent="0.25">
      <c r="A162" s="9" t="str">
        <f t="shared" si="8"/>
        <v>01 MASTER REQUEST - SLAVE POLL</v>
      </c>
      <c r="B162" t="s">
        <v>122</v>
      </c>
      <c r="C162" s="7" t="str">
        <f t="shared" si="9"/>
        <v>10</v>
      </c>
      <c r="D162" s="8" t="s">
        <v>109</v>
      </c>
      <c r="E162" s="7" t="str">
        <f t="shared" si="10"/>
        <v>31</v>
      </c>
    </row>
    <row r="163" spans="1:5" x14ac:dyDescent="0.25">
      <c r="A163" s="9" t="str">
        <f t="shared" si="8"/>
        <v>95 MAGAZINE INFO - CD1 YES, CD2 YES, CD3 NO, CD4 NO, CD5 NO, CD6 NO</v>
      </c>
      <c r="B163" t="s">
        <v>128</v>
      </c>
      <c r="C163" s="7" t="str">
        <f t="shared" si="9"/>
        <v>31</v>
      </c>
      <c r="D163" s="8" t="s">
        <v>109</v>
      </c>
      <c r="E163" s="7" t="str">
        <f t="shared" si="10"/>
        <v>10</v>
      </c>
    </row>
    <row r="164" spans="1:5" x14ac:dyDescent="0.25">
      <c r="A164" s="9" t="str">
        <f t="shared" si="8"/>
        <v>01 MASTER REQUEST - SLAVE POLL</v>
      </c>
      <c r="B164" t="s">
        <v>122</v>
      </c>
      <c r="C164" s="7" t="str">
        <f t="shared" si="9"/>
        <v>10</v>
      </c>
      <c r="D164" s="8" t="s">
        <v>109</v>
      </c>
      <c r="E164" s="7" t="str">
        <f t="shared" si="10"/>
        <v>31</v>
      </c>
    </row>
    <row r="165" spans="1:5" x14ac:dyDescent="0.25">
      <c r="A165" s="9" t="str">
        <f t="shared" si="8"/>
        <v>97 DISC INFO - TRACKS: 10, MINS: 50, SECS: 13, DISC: 3</v>
      </c>
      <c r="B165" t="s">
        <v>179</v>
      </c>
      <c r="C165" s="7" t="str">
        <f t="shared" si="9"/>
        <v>31</v>
      </c>
      <c r="D165" s="8" t="s">
        <v>109</v>
      </c>
      <c r="E165" s="7" t="str">
        <f t="shared" si="10"/>
        <v>10</v>
      </c>
    </row>
    <row r="166" spans="1:5" x14ac:dyDescent="0.25">
      <c r="A166" s="9" t="str">
        <f t="shared" si="8"/>
        <v>01 MASTER REQUEST - SLAVE POLL</v>
      </c>
      <c r="B166" t="s">
        <v>122</v>
      </c>
      <c r="C166" s="7" t="str">
        <f t="shared" si="9"/>
        <v>10</v>
      </c>
      <c r="D166" s="8" t="s">
        <v>109</v>
      </c>
      <c r="E166" s="7" t="str">
        <f t="shared" si="10"/>
        <v>31</v>
      </c>
    </row>
    <row r="167" spans="1:5" x14ac:dyDescent="0.25">
      <c r="A167" s="9" t="str">
        <f t="shared" si="8"/>
        <v>00 STATUS - IDLE</v>
      </c>
      <c r="B167" t="s">
        <v>132</v>
      </c>
      <c r="C167" s="7" t="str">
        <f t="shared" si="9"/>
        <v>31</v>
      </c>
      <c r="D167" s="8" t="s">
        <v>109</v>
      </c>
      <c r="E167" s="7" t="str">
        <f t="shared" si="10"/>
        <v>10</v>
      </c>
    </row>
    <row r="168" spans="1:5" x14ac:dyDescent="0.25">
      <c r="A168" s="9" t="str">
        <f t="shared" si="8"/>
        <v>84 REQUEST MORE TEXT FIELDS - SEND MAGAZINE INFO</v>
      </c>
      <c r="B168" t="s">
        <v>125</v>
      </c>
      <c r="C168" s="7" t="str">
        <f t="shared" si="9"/>
        <v>10</v>
      </c>
      <c r="D168" s="8" t="s">
        <v>109</v>
      </c>
      <c r="E168" s="7" t="str">
        <f t="shared" si="10"/>
        <v>31</v>
      </c>
    </row>
    <row r="169" spans="1:5" x14ac:dyDescent="0.25">
      <c r="A169" s="9" t="str">
        <f t="shared" si="8"/>
        <v>01 MASTER REQUEST - TIME POLL</v>
      </c>
      <c r="B169" t="s">
        <v>126</v>
      </c>
      <c r="C169" s="7" t="str">
        <f t="shared" si="9"/>
        <v>10</v>
      </c>
      <c r="D169" s="8" t="s">
        <v>109</v>
      </c>
      <c r="E169" s="7" t="str">
        <f t="shared" si="10"/>
        <v>31</v>
      </c>
    </row>
    <row r="170" spans="1:5" x14ac:dyDescent="0.25">
      <c r="A170" s="9" t="str">
        <f t="shared" si="8"/>
        <v>00 STATUS - IDLE</v>
      </c>
      <c r="B170" t="s">
        <v>132</v>
      </c>
      <c r="C170" s="7" t="str">
        <f t="shared" si="9"/>
        <v>31</v>
      </c>
      <c r="D170" s="8" t="s">
        <v>109</v>
      </c>
      <c r="E170" s="7" t="str">
        <f t="shared" si="10"/>
        <v>10</v>
      </c>
    </row>
    <row r="171" spans="1:5" x14ac:dyDescent="0.25">
      <c r="A171" s="9" t="str">
        <f t="shared" si="8"/>
        <v>84 REQUEST MORE TEXT FIELDS - SEND DISC INFO</v>
      </c>
      <c r="B171" t="s">
        <v>127</v>
      </c>
      <c r="C171" s="7" t="str">
        <f t="shared" si="9"/>
        <v>10</v>
      </c>
      <c r="D171" s="8" t="s">
        <v>109</v>
      </c>
      <c r="E171" s="7" t="str">
        <f t="shared" si="10"/>
        <v>31</v>
      </c>
    </row>
    <row r="172" spans="1:5" x14ac:dyDescent="0.25">
      <c r="A172" s="9" t="str">
        <f t="shared" si="8"/>
        <v>01 MASTER REQUEST - SLAVE POLL</v>
      </c>
      <c r="B172" t="s">
        <v>122</v>
      </c>
      <c r="C172" s="7" t="str">
        <f t="shared" si="9"/>
        <v>10</v>
      </c>
      <c r="D172" s="8" t="s">
        <v>109</v>
      </c>
      <c r="E172" s="7" t="str">
        <f t="shared" si="10"/>
        <v>31</v>
      </c>
    </row>
    <row r="173" spans="1:5" x14ac:dyDescent="0.25">
      <c r="A173" s="9" t="str">
        <f t="shared" si="8"/>
        <v>95 MAGAZINE INFO - CD1 YES, CD2 YES, CD3 NO, CD4 NO, CD5 NO, CD6 NO</v>
      </c>
      <c r="B173" t="s">
        <v>128</v>
      </c>
      <c r="C173" s="7" t="str">
        <f t="shared" si="9"/>
        <v>31</v>
      </c>
      <c r="D173" s="8" t="s">
        <v>109</v>
      </c>
      <c r="E173" s="7" t="str">
        <f t="shared" si="10"/>
        <v>10</v>
      </c>
    </row>
    <row r="174" spans="1:5" x14ac:dyDescent="0.25">
      <c r="A174" s="9" t="str">
        <f t="shared" si="8"/>
        <v>01 MASTER REQUEST - SLAVE POLL</v>
      </c>
      <c r="B174" t="s">
        <v>122</v>
      </c>
      <c r="C174" s="7" t="str">
        <f t="shared" si="9"/>
        <v>10</v>
      </c>
      <c r="D174" s="8" t="s">
        <v>109</v>
      </c>
      <c r="E174" s="7" t="str">
        <f t="shared" si="10"/>
        <v>31</v>
      </c>
    </row>
    <row r="175" spans="1:5" x14ac:dyDescent="0.25">
      <c r="A175" s="9" t="str">
        <f t="shared" si="8"/>
        <v>97 DISC INFO - TRACKS: 10, MINS: 50, SECS: 13, DISC: 3</v>
      </c>
      <c r="B175" t="s">
        <v>179</v>
      </c>
      <c r="C175" s="7" t="str">
        <f t="shared" si="9"/>
        <v>31</v>
      </c>
      <c r="D175" s="8" t="s">
        <v>109</v>
      </c>
      <c r="E175" s="7" t="str">
        <f t="shared" si="10"/>
        <v>10</v>
      </c>
    </row>
    <row r="176" spans="1:5" x14ac:dyDescent="0.25">
      <c r="A176" s="9" t="str">
        <f t="shared" si="8"/>
        <v>84 REQUEST MORE TEXT FIELDS - SEND MAGAZINE INFO</v>
      </c>
      <c r="B176" t="s">
        <v>125</v>
      </c>
      <c r="C176" s="7" t="str">
        <f t="shared" si="9"/>
        <v>10</v>
      </c>
      <c r="D176" s="8" t="s">
        <v>109</v>
      </c>
      <c r="E176" s="7" t="str">
        <f t="shared" si="10"/>
        <v>31</v>
      </c>
    </row>
    <row r="177" spans="1:5" x14ac:dyDescent="0.25">
      <c r="A177" s="9" t="str">
        <f t="shared" si="8"/>
        <v>01 MASTER REQUEST - TIME POLL</v>
      </c>
      <c r="B177" t="s">
        <v>126</v>
      </c>
      <c r="C177" s="7" t="str">
        <f t="shared" si="9"/>
        <v>10</v>
      </c>
      <c r="D177" s="8" t="s">
        <v>109</v>
      </c>
      <c r="E177" s="7" t="str">
        <f t="shared" si="10"/>
        <v>31</v>
      </c>
    </row>
    <row r="178" spans="1:5" x14ac:dyDescent="0.25">
      <c r="A178" s="9" t="str">
        <f t="shared" si="8"/>
        <v>00 STATUS - IDLE</v>
      </c>
      <c r="B178" t="s">
        <v>132</v>
      </c>
      <c r="C178" s="7" t="str">
        <f t="shared" si="9"/>
        <v>31</v>
      </c>
      <c r="D178" s="8" t="s">
        <v>109</v>
      </c>
      <c r="E178" s="7" t="str">
        <f t="shared" si="10"/>
        <v>10</v>
      </c>
    </row>
    <row r="179" spans="1:5" x14ac:dyDescent="0.25">
      <c r="A179" s="9" t="str">
        <f t="shared" si="8"/>
        <v>84 REQUEST MORE TEXT FIELDS - SEND DISC INFO</v>
      </c>
      <c r="B179" t="s">
        <v>127</v>
      </c>
      <c r="C179" s="7" t="str">
        <f t="shared" si="9"/>
        <v>10</v>
      </c>
      <c r="D179" s="8" t="s">
        <v>109</v>
      </c>
      <c r="E179" s="7" t="str">
        <f t="shared" si="10"/>
        <v>31</v>
      </c>
    </row>
    <row r="180" spans="1:5" x14ac:dyDescent="0.25">
      <c r="A180" s="9" t="str">
        <f t="shared" si="8"/>
        <v>01 MASTER REQUEST - SLAVE POLL</v>
      </c>
      <c r="B180" t="s">
        <v>122</v>
      </c>
      <c r="C180" s="7" t="str">
        <f t="shared" si="9"/>
        <v>10</v>
      </c>
      <c r="D180" s="8" t="s">
        <v>109</v>
      </c>
      <c r="E180" s="7" t="str">
        <f t="shared" si="10"/>
        <v>31</v>
      </c>
    </row>
    <row r="181" spans="1:5" x14ac:dyDescent="0.25">
      <c r="A181" s="9" t="str">
        <f t="shared" si="8"/>
        <v>95 MAGAZINE INFO - CD1 YES, CD2 YES, CD3 NO, CD4 NO, CD5 NO, CD6 NO</v>
      </c>
      <c r="B181" t="s">
        <v>128</v>
      </c>
      <c r="C181" s="7" t="str">
        <f t="shared" si="9"/>
        <v>31</v>
      </c>
      <c r="D181" s="8" t="s">
        <v>109</v>
      </c>
      <c r="E181" s="7" t="str">
        <f t="shared" si="10"/>
        <v>10</v>
      </c>
    </row>
    <row r="182" spans="1:5" x14ac:dyDescent="0.25">
      <c r="A182" s="9" t="str">
        <f t="shared" si="8"/>
        <v>01 MASTER REQUEST - SLAVE POLL</v>
      </c>
      <c r="B182" t="s">
        <v>122</v>
      </c>
      <c r="C182" s="7" t="str">
        <f t="shared" si="9"/>
        <v>10</v>
      </c>
      <c r="D182" s="8" t="s">
        <v>109</v>
      </c>
      <c r="E182" s="7" t="str">
        <f t="shared" si="10"/>
        <v>31</v>
      </c>
    </row>
    <row r="183" spans="1:5" x14ac:dyDescent="0.25">
      <c r="A183" s="9" t="str">
        <f t="shared" si="8"/>
        <v>97 DISC INFO - TRACKS: 10, MINS: 50, SECS: 13, DISC: 3</v>
      </c>
      <c r="B183" t="s">
        <v>179</v>
      </c>
      <c r="C183" s="7" t="str">
        <f t="shared" si="9"/>
        <v>31</v>
      </c>
      <c r="D183" s="8" t="s">
        <v>109</v>
      </c>
      <c r="E183" s="7" t="str">
        <f t="shared" si="10"/>
        <v>10</v>
      </c>
    </row>
    <row r="184" spans="1:5" x14ac:dyDescent="0.25">
      <c r="A184" s="9" t="str">
        <f t="shared" si="8"/>
        <v>84 REQUEST MORE TEXT FIELDS - SEND MAGAZINE INFO</v>
      </c>
      <c r="B184" t="s">
        <v>125</v>
      </c>
      <c r="C184" s="7" t="str">
        <f t="shared" si="9"/>
        <v>10</v>
      </c>
      <c r="D184" s="8" t="s">
        <v>109</v>
      </c>
      <c r="E184" s="7" t="str">
        <f t="shared" si="10"/>
        <v>31</v>
      </c>
    </row>
    <row r="185" spans="1:5" x14ac:dyDescent="0.25">
      <c r="A185" s="9" t="str">
        <f t="shared" si="8"/>
        <v>01 MASTER REQUEST - TIME POLL</v>
      </c>
      <c r="B185" t="s">
        <v>126</v>
      </c>
      <c r="C185" s="7" t="str">
        <f t="shared" si="9"/>
        <v>10</v>
      </c>
      <c r="D185" s="8" t="s">
        <v>109</v>
      </c>
      <c r="E185" s="7" t="str">
        <f t="shared" si="10"/>
        <v>31</v>
      </c>
    </row>
    <row r="186" spans="1:5" x14ac:dyDescent="0.25">
      <c r="A186" s="9" t="str">
        <f t="shared" si="8"/>
        <v>00 STATUS - IDLE</v>
      </c>
      <c r="B186" t="s">
        <v>132</v>
      </c>
      <c r="C186" s="7" t="str">
        <f t="shared" si="9"/>
        <v>31</v>
      </c>
      <c r="D186" s="8" t="s">
        <v>109</v>
      </c>
      <c r="E186" s="7" t="str">
        <f t="shared" si="10"/>
        <v>10</v>
      </c>
    </row>
    <row r="187" spans="1:5" x14ac:dyDescent="0.25">
      <c r="A187" s="9" t="str">
        <f t="shared" si="8"/>
        <v>84 REQUEST MORE TEXT FIELDS - SEND DISC INFO</v>
      </c>
      <c r="B187" t="s">
        <v>127</v>
      </c>
      <c r="C187" s="7" t="str">
        <f t="shared" si="9"/>
        <v>10</v>
      </c>
      <c r="D187" s="8" t="s">
        <v>109</v>
      </c>
      <c r="E187" s="7" t="str">
        <f t="shared" si="10"/>
        <v>31</v>
      </c>
    </row>
    <row r="188" spans="1:5" x14ac:dyDescent="0.25">
      <c r="A188" s="9" t="str">
        <f t="shared" si="8"/>
        <v>01 MASTER REQUEST - SLAVE POLL</v>
      </c>
      <c r="B188" t="s">
        <v>122</v>
      </c>
      <c r="C188" s="7" t="str">
        <f t="shared" si="9"/>
        <v>10</v>
      </c>
      <c r="D188" s="8" t="s">
        <v>109</v>
      </c>
      <c r="E188" s="7" t="str">
        <f t="shared" si="10"/>
        <v>31</v>
      </c>
    </row>
    <row r="189" spans="1:5" x14ac:dyDescent="0.25">
      <c r="A189" s="9" t="str">
        <f t="shared" si="8"/>
        <v>95 MAGAZINE INFO - CD1 YES, CD2 YES, CD3 NO, CD4 NO, CD5 NO, CD6 NO</v>
      </c>
      <c r="B189" t="s">
        <v>128</v>
      </c>
      <c r="C189" s="7" t="str">
        <f t="shared" si="9"/>
        <v>31</v>
      </c>
      <c r="D189" s="8" t="s">
        <v>109</v>
      </c>
      <c r="E189" s="7" t="str">
        <f t="shared" si="10"/>
        <v>10</v>
      </c>
    </row>
    <row r="190" spans="1:5" x14ac:dyDescent="0.25">
      <c r="A190" s="9" t="str">
        <f t="shared" si="8"/>
        <v>01 MASTER REQUEST - SLAVE POLL</v>
      </c>
      <c r="B190" t="s">
        <v>122</v>
      </c>
      <c r="C190" s="7" t="str">
        <f t="shared" si="9"/>
        <v>10</v>
      </c>
      <c r="D190" s="8" t="s">
        <v>109</v>
      </c>
      <c r="E190" s="7" t="str">
        <f t="shared" si="10"/>
        <v>31</v>
      </c>
    </row>
    <row r="191" spans="1:5" x14ac:dyDescent="0.25">
      <c r="A191" s="9" t="str">
        <f t="shared" si="8"/>
        <v>97 DISC INFO - TRACKS: 10, MINS: 50, SECS: 13, DISC: 3</v>
      </c>
      <c r="B191" t="s">
        <v>179</v>
      </c>
      <c r="C191" s="7" t="str">
        <f t="shared" si="9"/>
        <v>31</v>
      </c>
      <c r="D191" s="8" t="s">
        <v>109</v>
      </c>
      <c r="E191" s="7" t="str">
        <f t="shared" si="10"/>
        <v>10</v>
      </c>
    </row>
    <row r="192" spans="1:5" x14ac:dyDescent="0.25">
      <c r="A192" s="9" t="str">
        <f t="shared" si="8"/>
        <v>84 REQUEST MORE TEXT FIELDS - SEND MAGAZINE INFO</v>
      </c>
      <c r="B192" t="s">
        <v>125</v>
      </c>
      <c r="C192" s="7" t="str">
        <f t="shared" si="9"/>
        <v>10</v>
      </c>
      <c r="D192" s="8" t="s">
        <v>109</v>
      </c>
      <c r="E192" s="7" t="str">
        <f t="shared" si="10"/>
        <v>31</v>
      </c>
    </row>
    <row r="193" spans="1:5" x14ac:dyDescent="0.25">
      <c r="A193" s="9" t="str">
        <f t="shared" si="8"/>
        <v>01 MASTER REQUEST - TIME POLL</v>
      </c>
      <c r="B193" t="s">
        <v>126</v>
      </c>
      <c r="C193" s="7" t="str">
        <f t="shared" si="9"/>
        <v>10</v>
      </c>
      <c r="D193" s="8" t="s">
        <v>109</v>
      </c>
      <c r="E193" s="7" t="str">
        <f t="shared" si="10"/>
        <v>31</v>
      </c>
    </row>
    <row r="194" spans="1:5" x14ac:dyDescent="0.25">
      <c r="A194" s="9" t="str">
        <f t="shared" si="8"/>
        <v>00 STATUS - IDLE</v>
      </c>
      <c r="B194" t="s">
        <v>132</v>
      </c>
      <c r="C194" s="7" t="str">
        <f t="shared" si="9"/>
        <v>31</v>
      </c>
      <c r="D194" s="8" t="s">
        <v>109</v>
      </c>
      <c r="E194" s="7" t="str">
        <f t="shared" si="10"/>
        <v>10</v>
      </c>
    </row>
    <row r="195" spans="1:5" x14ac:dyDescent="0.25">
      <c r="A195" s="9" t="str">
        <f t="shared" ref="A195:A258" si="11">ParseUnilink(B195)</f>
        <v>84 REQUEST MORE TEXT FIELDS - SEND DISC INFO</v>
      </c>
      <c r="B195" t="s">
        <v>127</v>
      </c>
      <c r="C195" s="7" t="str">
        <f t="shared" ref="C195:C258" si="12">MID(B195,4,2)</f>
        <v>10</v>
      </c>
      <c r="D195" s="8" t="s">
        <v>109</v>
      </c>
      <c r="E195" s="7" t="str">
        <f t="shared" ref="E195:E258" si="13">MID(B195,1,2)</f>
        <v>31</v>
      </c>
    </row>
    <row r="196" spans="1:5" x14ac:dyDescent="0.25">
      <c r="A196" s="9" t="str">
        <f t="shared" si="11"/>
        <v>01 MASTER REQUEST - SLAVE POLL</v>
      </c>
      <c r="B196" t="s">
        <v>122</v>
      </c>
      <c r="C196" s="7" t="str">
        <f t="shared" si="12"/>
        <v>10</v>
      </c>
      <c r="D196" s="8" t="s">
        <v>109</v>
      </c>
      <c r="E196" s="7" t="str">
        <f t="shared" si="13"/>
        <v>31</v>
      </c>
    </row>
    <row r="197" spans="1:5" x14ac:dyDescent="0.25">
      <c r="A197" s="9" t="str">
        <f t="shared" si="11"/>
        <v>95 MAGAZINE INFO - CD1 YES, CD2 YES, CD3 NO, CD4 NO, CD5 NO, CD6 NO</v>
      </c>
      <c r="B197" t="s">
        <v>128</v>
      </c>
      <c r="C197" s="7" t="str">
        <f t="shared" si="12"/>
        <v>31</v>
      </c>
      <c r="D197" s="8" t="s">
        <v>109</v>
      </c>
      <c r="E197" s="7" t="str">
        <f t="shared" si="13"/>
        <v>10</v>
      </c>
    </row>
    <row r="198" spans="1:5" x14ac:dyDescent="0.25">
      <c r="A198" s="9" t="str">
        <f t="shared" si="11"/>
        <v>01 MASTER REQUEST - SLAVE POLL</v>
      </c>
      <c r="B198" t="s">
        <v>135</v>
      </c>
      <c r="C198" s="7" t="str">
        <f t="shared" si="12"/>
        <v>10</v>
      </c>
      <c r="D198" s="8" t="s">
        <v>109</v>
      </c>
      <c r="E198" s="7" t="str">
        <f t="shared" si="13"/>
        <v>31</v>
      </c>
    </row>
    <row r="199" spans="1:5" x14ac:dyDescent="0.25">
      <c r="A199" s="9" t="str">
        <f t="shared" si="11"/>
        <v>97 DISC INFO - TRACKS: 10, MINS: 50, SECS: 13, DISC: 3</v>
      </c>
      <c r="B199" t="s">
        <v>179</v>
      </c>
      <c r="C199" s="7" t="str">
        <f t="shared" si="12"/>
        <v>31</v>
      </c>
      <c r="D199" s="8" t="s">
        <v>109</v>
      </c>
      <c r="E199" s="7" t="str">
        <f t="shared" si="13"/>
        <v>10</v>
      </c>
    </row>
    <row r="200" spans="1:5" x14ac:dyDescent="0.25">
      <c r="A200" s="9" t="str">
        <f t="shared" si="11"/>
        <v>84 REQUEST MORE TEXT FIELDS - SEND MAGAZINE INFO</v>
      </c>
      <c r="B200" t="s">
        <v>125</v>
      </c>
      <c r="C200" s="7" t="str">
        <f t="shared" si="12"/>
        <v>10</v>
      </c>
      <c r="D200" s="8" t="s">
        <v>109</v>
      </c>
      <c r="E200" s="7" t="str">
        <f t="shared" si="13"/>
        <v>31</v>
      </c>
    </row>
    <row r="201" spans="1:5" x14ac:dyDescent="0.25">
      <c r="A201" s="9" t="str">
        <f t="shared" si="11"/>
        <v>01 MASTER REQUEST - TIME POLL</v>
      </c>
      <c r="B201" t="s">
        <v>126</v>
      </c>
      <c r="C201" s="7" t="str">
        <f t="shared" si="12"/>
        <v>10</v>
      </c>
      <c r="D201" s="8" t="s">
        <v>109</v>
      </c>
      <c r="E201" s="7" t="str">
        <f t="shared" si="13"/>
        <v>31</v>
      </c>
    </row>
    <row r="202" spans="1:5" x14ac:dyDescent="0.25">
      <c r="A202" s="9" t="str">
        <f t="shared" si="11"/>
        <v>00 STATUS - IDLE</v>
      </c>
      <c r="B202" t="s">
        <v>132</v>
      </c>
      <c r="C202" s="7" t="str">
        <f t="shared" si="12"/>
        <v>31</v>
      </c>
      <c r="D202" s="8" t="s">
        <v>109</v>
      </c>
      <c r="E202" s="7" t="str">
        <f t="shared" si="13"/>
        <v>10</v>
      </c>
    </row>
    <row r="203" spans="1:5" x14ac:dyDescent="0.25">
      <c r="A203" s="9" t="str">
        <f t="shared" si="11"/>
        <v>84 REQUEST MORE TEXT FIELDS - SEND DISC INFO</v>
      </c>
      <c r="B203" t="s">
        <v>127</v>
      </c>
      <c r="C203" s="7" t="str">
        <f t="shared" si="12"/>
        <v>10</v>
      </c>
      <c r="D203" s="8" t="s">
        <v>109</v>
      </c>
      <c r="E203" s="7" t="str">
        <f t="shared" si="13"/>
        <v>31</v>
      </c>
    </row>
    <row r="204" spans="1:5" x14ac:dyDescent="0.25">
      <c r="A204" s="9" t="str">
        <f t="shared" si="11"/>
        <v>01 MASTER REQUEST - SLAVE POLL</v>
      </c>
      <c r="B204" t="s">
        <v>122</v>
      </c>
      <c r="C204" s="7" t="str">
        <f t="shared" si="12"/>
        <v>10</v>
      </c>
      <c r="D204" s="8" t="s">
        <v>109</v>
      </c>
      <c r="E204" s="7" t="str">
        <f t="shared" si="13"/>
        <v>31</v>
      </c>
    </row>
    <row r="205" spans="1:5" x14ac:dyDescent="0.25">
      <c r="A205" s="9" t="str">
        <f t="shared" si="11"/>
        <v>95 MAGAZINE INFO - CD1 YES, CD2 YES, CD3 NO, CD4 NO, CD5 NO, CD6 NO</v>
      </c>
      <c r="B205" t="s">
        <v>128</v>
      </c>
      <c r="C205" s="7" t="str">
        <f t="shared" si="12"/>
        <v>31</v>
      </c>
      <c r="D205" s="8" t="s">
        <v>109</v>
      </c>
      <c r="E205" s="7" t="str">
        <f t="shared" si="13"/>
        <v>10</v>
      </c>
    </row>
    <row r="206" spans="1:5" x14ac:dyDescent="0.25">
      <c r="A206" s="9" t="str">
        <f t="shared" si="11"/>
        <v>01 MASTER REQUEST - SLAVE POLL</v>
      </c>
      <c r="B206" t="s">
        <v>122</v>
      </c>
      <c r="C206" s="7" t="str">
        <f t="shared" si="12"/>
        <v>10</v>
      </c>
      <c r="D206" s="8" t="s">
        <v>109</v>
      </c>
      <c r="E206" s="7" t="str">
        <f t="shared" si="13"/>
        <v>31</v>
      </c>
    </row>
    <row r="207" spans="1:5" x14ac:dyDescent="0.25">
      <c r="A207" s="9" t="str">
        <f t="shared" si="11"/>
        <v>97 DISC INFO - TRACKS: 10, MINS: 50, SECS: 13, DISC: 4</v>
      </c>
      <c r="B207" t="s">
        <v>180</v>
      </c>
      <c r="C207" s="7" t="str">
        <f t="shared" si="12"/>
        <v>31</v>
      </c>
      <c r="D207" s="8" t="s">
        <v>109</v>
      </c>
      <c r="E207" s="7" t="str">
        <f t="shared" si="13"/>
        <v>10</v>
      </c>
    </row>
    <row r="208" spans="1:5" x14ac:dyDescent="0.25">
      <c r="A208" s="9" t="str">
        <f t="shared" si="11"/>
        <v>84 REQUEST MORE TEXT FIELDS - SEND MAGAZINE INFO</v>
      </c>
      <c r="B208" t="s">
        <v>125</v>
      </c>
      <c r="C208" s="7" t="str">
        <f t="shared" si="12"/>
        <v>10</v>
      </c>
      <c r="D208" s="8" t="s">
        <v>109</v>
      </c>
      <c r="E208" s="7" t="str">
        <f t="shared" si="13"/>
        <v>31</v>
      </c>
    </row>
    <row r="209" spans="1:5" x14ac:dyDescent="0.25">
      <c r="A209" s="9" t="str">
        <f t="shared" si="11"/>
        <v>01 MASTER REQUEST - TIME POLL</v>
      </c>
      <c r="B209" t="s">
        <v>126</v>
      </c>
      <c r="C209" s="7" t="str">
        <f t="shared" si="12"/>
        <v>10</v>
      </c>
      <c r="D209" s="8" t="s">
        <v>109</v>
      </c>
      <c r="E209" s="7" t="str">
        <f t="shared" si="13"/>
        <v>31</v>
      </c>
    </row>
    <row r="210" spans="1:5" x14ac:dyDescent="0.25">
      <c r="A210" s="9" t="str">
        <f t="shared" si="11"/>
        <v>00 STATUS - IDLE</v>
      </c>
      <c r="B210" t="s">
        <v>132</v>
      </c>
      <c r="C210" s="7" t="str">
        <f t="shared" si="12"/>
        <v>31</v>
      </c>
      <c r="D210" s="8" t="s">
        <v>109</v>
      </c>
      <c r="E210" s="7" t="str">
        <f t="shared" si="13"/>
        <v>10</v>
      </c>
    </row>
    <row r="211" spans="1:5" x14ac:dyDescent="0.25">
      <c r="A211" s="9" t="str">
        <f t="shared" si="11"/>
        <v>84 REQUEST MORE TEXT FIELDS - SEND DISC INFO</v>
      </c>
      <c r="B211" t="s">
        <v>127</v>
      </c>
      <c r="C211" s="7" t="str">
        <f t="shared" si="12"/>
        <v>10</v>
      </c>
      <c r="D211" s="8" t="s">
        <v>109</v>
      </c>
      <c r="E211" s="7" t="str">
        <f t="shared" si="13"/>
        <v>31</v>
      </c>
    </row>
    <row r="212" spans="1:5" x14ac:dyDescent="0.25">
      <c r="A212" s="9" t="str">
        <f t="shared" si="11"/>
        <v>01 MASTER REQUEST - SLAVE POLL</v>
      </c>
      <c r="B212" t="s">
        <v>122</v>
      </c>
      <c r="C212" s="7" t="str">
        <f t="shared" si="12"/>
        <v>10</v>
      </c>
      <c r="D212" s="8" t="s">
        <v>109</v>
      </c>
      <c r="E212" s="7" t="str">
        <f t="shared" si="13"/>
        <v>31</v>
      </c>
    </row>
    <row r="213" spans="1:5" x14ac:dyDescent="0.25">
      <c r="A213" s="9" t="str">
        <f t="shared" si="11"/>
        <v>95 MAGAZINE INFO - CD1 YES, CD2 YES, CD3 NO, CD4 NO, CD5 NO, CD6 NO</v>
      </c>
      <c r="B213" t="s">
        <v>128</v>
      </c>
      <c r="C213" s="7" t="str">
        <f t="shared" si="12"/>
        <v>31</v>
      </c>
      <c r="D213" s="8" t="s">
        <v>109</v>
      </c>
      <c r="E213" s="7" t="str">
        <f t="shared" si="13"/>
        <v>10</v>
      </c>
    </row>
    <row r="214" spans="1:5" x14ac:dyDescent="0.25">
      <c r="A214" s="9" t="str">
        <f t="shared" si="11"/>
        <v>01 MASTER REQUEST - SLAVE POLL</v>
      </c>
      <c r="B214" t="s">
        <v>122</v>
      </c>
      <c r="C214" s="7" t="str">
        <f t="shared" si="12"/>
        <v>10</v>
      </c>
      <c r="D214" s="8" t="s">
        <v>109</v>
      </c>
      <c r="E214" s="7" t="str">
        <f t="shared" si="13"/>
        <v>31</v>
      </c>
    </row>
    <row r="215" spans="1:5" x14ac:dyDescent="0.25">
      <c r="A215" s="9" t="str">
        <f t="shared" si="11"/>
        <v>97 DISC INFO - TRACKS: 10, MINS: 50, SECS: 13, DISC: 4</v>
      </c>
      <c r="B215" t="s">
        <v>180</v>
      </c>
      <c r="C215" s="7" t="str">
        <f t="shared" si="12"/>
        <v>31</v>
      </c>
      <c r="D215" s="8" t="s">
        <v>109</v>
      </c>
      <c r="E215" s="7" t="str">
        <f t="shared" si="13"/>
        <v>10</v>
      </c>
    </row>
    <row r="216" spans="1:5" x14ac:dyDescent="0.25">
      <c r="A216" s="9" t="str">
        <f t="shared" si="11"/>
        <v>84 REQUEST MORE TEXT FIELDS - SEND MAGAZINE INFO</v>
      </c>
      <c r="B216" t="s">
        <v>125</v>
      </c>
      <c r="C216" s="7" t="str">
        <f t="shared" si="12"/>
        <v>10</v>
      </c>
      <c r="D216" s="8" t="s">
        <v>109</v>
      </c>
      <c r="E216" s="7" t="str">
        <f t="shared" si="13"/>
        <v>31</v>
      </c>
    </row>
    <row r="217" spans="1:5" x14ac:dyDescent="0.25">
      <c r="A217" s="9" t="str">
        <f t="shared" si="11"/>
        <v>01 MASTER REQUEST - TIME POLL</v>
      </c>
      <c r="B217" t="s">
        <v>126</v>
      </c>
      <c r="C217" s="7" t="str">
        <f t="shared" si="12"/>
        <v>10</v>
      </c>
      <c r="D217" s="8" t="s">
        <v>109</v>
      </c>
      <c r="E217" s="7" t="str">
        <f t="shared" si="13"/>
        <v>31</v>
      </c>
    </row>
    <row r="218" spans="1:5" x14ac:dyDescent="0.25">
      <c r="A218" s="9" t="str">
        <f t="shared" si="11"/>
        <v>00 STATUS - IDLE</v>
      </c>
      <c r="B218" t="s">
        <v>132</v>
      </c>
      <c r="C218" s="7" t="str">
        <f t="shared" si="12"/>
        <v>31</v>
      </c>
      <c r="D218" s="8" t="s">
        <v>109</v>
      </c>
      <c r="E218" s="7" t="str">
        <f t="shared" si="13"/>
        <v>10</v>
      </c>
    </row>
    <row r="219" spans="1:5" x14ac:dyDescent="0.25">
      <c r="A219" s="9" t="str">
        <f t="shared" si="11"/>
        <v>84 REQUEST MORE TEXT FIELDS - SEND DISC INFO</v>
      </c>
      <c r="B219" t="s">
        <v>127</v>
      </c>
      <c r="C219" s="7" t="str">
        <f t="shared" si="12"/>
        <v>10</v>
      </c>
      <c r="D219" s="8" t="s">
        <v>109</v>
      </c>
      <c r="E219" s="7" t="str">
        <f t="shared" si="13"/>
        <v>31</v>
      </c>
    </row>
    <row r="220" spans="1:5" x14ac:dyDescent="0.25">
      <c r="A220" s="9" t="str">
        <f t="shared" si="11"/>
        <v>01 MASTER REQUEST - SLAVE POLL</v>
      </c>
      <c r="B220" t="s">
        <v>122</v>
      </c>
      <c r="C220" s="7" t="str">
        <f t="shared" si="12"/>
        <v>10</v>
      </c>
      <c r="D220" s="8" t="s">
        <v>109</v>
      </c>
      <c r="E220" s="7" t="str">
        <f t="shared" si="13"/>
        <v>31</v>
      </c>
    </row>
    <row r="221" spans="1:5" x14ac:dyDescent="0.25">
      <c r="A221" s="9" t="str">
        <f t="shared" si="11"/>
        <v>95 MAGAZINE INFO - CD1 YES, CD2 YES, CD3 NO, CD4 NO, CD5 NO, CD6 NO</v>
      </c>
      <c r="B221" t="s">
        <v>128</v>
      </c>
      <c r="C221" s="7" t="str">
        <f t="shared" si="12"/>
        <v>31</v>
      </c>
      <c r="D221" s="8" t="s">
        <v>109</v>
      </c>
      <c r="E221" s="7" t="str">
        <f t="shared" si="13"/>
        <v>10</v>
      </c>
    </row>
    <row r="222" spans="1:5" x14ac:dyDescent="0.25">
      <c r="A222" s="9" t="str">
        <f t="shared" si="11"/>
        <v>01 MASTER REQUEST - SLAVE POLL</v>
      </c>
      <c r="B222" t="s">
        <v>122</v>
      </c>
      <c r="C222" s="7" t="str">
        <f t="shared" si="12"/>
        <v>10</v>
      </c>
      <c r="D222" s="8" t="s">
        <v>109</v>
      </c>
      <c r="E222" s="7" t="str">
        <f t="shared" si="13"/>
        <v>31</v>
      </c>
    </row>
    <row r="223" spans="1:5" x14ac:dyDescent="0.25">
      <c r="A223" s="9" t="str">
        <f t="shared" si="11"/>
        <v>97 DISC INFO - TRACKS: 10, MINS: 50, SECS: 13, DISC: 4</v>
      </c>
      <c r="B223" t="s">
        <v>180</v>
      </c>
      <c r="C223" s="7" t="str">
        <f t="shared" si="12"/>
        <v>31</v>
      </c>
      <c r="D223" s="8" t="s">
        <v>109</v>
      </c>
      <c r="E223" s="7" t="str">
        <f t="shared" si="13"/>
        <v>10</v>
      </c>
    </row>
    <row r="224" spans="1:5" x14ac:dyDescent="0.25">
      <c r="A224" s="9" t="str">
        <f t="shared" si="11"/>
        <v>84 REQUEST MORE TEXT FIELDS - SEND MAGAZINE INFO</v>
      </c>
      <c r="B224" t="s">
        <v>125</v>
      </c>
      <c r="C224" s="7" t="str">
        <f t="shared" si="12"/>
        <v>10</v>
      </c>
      <c r="D224" s="8" t="s">
        <v>109</v>
      </c>
      <c r="E224" s="7" t="str">
        <f t="shared" si="13"/>
        <v>31</v>
      </c>
    </row>
    <row r="225" spans="1:5" x14ac:dyDescent="0.25">
      <c r="A225" s="9" t="str">
        <f t="shared" si="11"/>
        <v>01 MASTER REQUEST - TIME POLL</v>
      </c>
      <c r="B225" t="s">
        <v>126</v>
      </c>
      <c r="C225" s="7" t="str">
        <f t="shared" si="12"/>
        <v>10</v>
      </c>
      <c r="D225" s="8" t="s">
        <v>109</v>
      </c>
      <c r="E225" s="7" t="str">
        <f t="shared" si="13"/>
        <v>31</v>
      </c>
    </row>
    <row r="226" spans="1:5" x14ac:dyDescent="0.25">
      <c r="A226" s="9" t="str">
        <f t="shared" si="11"/>
        <v>00 STATUS - IDLE</v>
      </c>
      <c r="B226" t="s">
        <v>132</v>
      </c>
      <c r="C226" s="7" t="str">
        <f t="shared" si="12"/>
        <v>31</v>
      </c>
      <c r="D226" s="8" t="s">
        <v>109</v>
      </c>
      <c r="E226" s="7" t="str">
        <f t="shared" si="13"/>
        <v>10</v>
      </c>
    </row>
    <row r="227" spans="1:5" x14ac:dyDescent="0.25">
      <c r="A227" s="9" t="str">
        <f t="shared" si="11"/>
        <v>84 REQUEST MORE TEXT FIELDS - SEND DISC INFO</v>
      </c>
      <c r="B227" t="s">
        <v>127</v>
      </c>
      <c r="C227" s="7" t="str">
        <f t="shared" si="12"/>
        <v>10</v>
      </c>
      <c r="D227" s="8" t="s">
        <v>109</v>
      </c>
      <c r="E227" s="7" t="str">
        <f t="shared" si="13"/>
        <v>31</v>
      </c>
    </row>
    <row r="228" spans="1:5" x14ac:dyDescent="0.25">
      <c r="A228" s="9" t="str">
        <f t="shared" si="11"/>
        <v>01 MASTER REQUEST - SLAVE POLL</v>
      </c>
      <c r="B228" t="s">
        <v>122</v>
      </c>
      <c r="C228" s="7" t="str">
        <f t="shared" si="12"/>
        <v>10</v>
      </c>
      <c r="D228" s="8" t="s">
        <v>109</v>
      </c>
      <c r="E228" s="7" t="str">
        <f t="shared" si="13"/>
        <v>31</v>
      </c>
    </row>
    <row r="229" spans="1:5" x14ac:dyDescent="0.25">
      <c r="A229" s="9" t="str">
        <f t="shared" si="11"/>
        <v>95 MAGAZINE INFO - CD1 YES, CD2 YES, CD3 NO, CD4 NO, CD5 NO, CD6 NO</v>
      </c>
      <c r="B229" t="s">
        <v>128</v>
      </c>
      <c r="C229" s="7" t="str">
        <f t="shared" si="12"/>
        <v>31</v>
      </c>
      <c r="D229" s="8" t="s">
        <v>109</v>
      </c>
      <c r="E229" s="7" t="str">
        <f t="shared" si="13"/>
        <v>10</v>
      </c>
    </row>
    <row r="230" spans="1:5" x14ac:dyDescent="0.25">
      <c r="A230" s="9" t="str">
        <f t="shared" si="11"/>
        <v>01 MASTER REQUEST - SLAVE POLL</v>
      </c>
      <c r="B230" t="s">
        <v>122</v>
      </c>
      <c r="C230" s="7" t="str">
        <f t="shared" si="12"/>
        <v>10</v>
      </c>
      <c r="D230" s="8" t="s">
        <v>109</v>
      </c>
      <c r="E230" s="7" t="str">
        <f t="shared" si="13"/>
        <v>31</v>
      </c>
    </row>
    <row r="231" spans="1:5" x14ac:dyDescent="0.25">
      <c r="A231" s="9" t="str">
        <f t="shared" si="11"/>
        <v>97 DISC INFO - TRACKS: 10, MINS: 50, SECS: 13, DISC: 4</v>
      </c>
      <c r="B231" t="s">
        <v>180</v>
      </c>
      <c r="C231" s="7" t="str">
        <f t="shared" si="12"/>
        <v>31</v>
      </c>
      <c r="D231" s="8" t="s">
        <v>109</v>
      </c>
      <c r="E231" s="7" t="str">
        <f t="shared" si="13"/>
        <v>10</v>
      </c>
    </row>
    <row r="232" spans="1:5" x14ac:dyDescent="0.25">
      <c r="A232" s="9" t="str">
        <f t="shared" si="11"/>
        <v>84 REQUEST MORE TEXT FIELDS - SEND MAGAZINE INFO</v>
      </c>
      <c r="B232" t="s">
        <v>125</v>
      </c>
      <c r="C232" s="7" t="str">
        <f t="shared" si="12"/>
        <v>10</v>
      </c>
      <c r="D232" s="8" t="s">
        <v>109</v>
      </c>
      <c r="E232" s="7" t="str">
        <f t="shared" si="13"/>
        <v>31</v>
      </c>
    </row>
    <row r="233" spans="1:5" x14ac:dyDescent="0.25">
      <c r="A233" s="9" t="str">
        <f t="shared" si="11"/>
        <v>01 MASTER REQUEST - TIME POLL</v>
      </c>
      <c r="B233" t="s">
        <v>126</v>
      </c>
      <c r="C233" s="7" t="str">
        <f t="shared" si="12"/>
        <v>10</v>
      </c>
      <c r="D233" s="8" t="s">
        <v>109</v>
      </c>
      <c r="E233" s="7" t="str">
        <f t="shared" si="13"/>
        <v>31</v>
      </c>
    </row>
    <row r="234" spans="1:5" x14ac:dyDescent="0.25">
      <c r="A234" s="9" t="str">
        <f t="shared" si="11"/>
        <v>00 STATUS - IDLE</v>
      </c>
      <c r="B234" t="s">
        <v>132</v>
      </c>
      <c r="C234" s="7" t="str">
        <f t="shared" si="12"/>
        <v>31</v>
      </c>
      <c r="D234" s="8" t="s">
        <v>109</v>
      </c>
      <c r="E234" s="7" t="str">
        <f t="shared" si="13"/>
        <v>10</v>
      </c>
    </row>
    <row r="235" spans="1:5" x14ac:dyDescent="0.25">
      <c r="A235" s="9" t="str">
        <f t="shared" si="11"/>
        <v>84 REQUEST MORE TEXT FIELDS - SEND DISC INFO</v>
      </c>
      <c r="B235" t="s">
        <v>127</v>
      </c>
      <c r="C235" s="7" t="str">
        <f t="shared" si="12"/>
        <v>10</v>
      </c>
      <c r="D235" s="8" t="s">
        <v>109</v>
      </c>
      <c r="E235" s="7" t="str">
        <f t="shared" si="13"/>
        <v>31</v>
      </c>
    </row>
    <row r="236" spans="1:5" x14ac:dyDescent="0.25">
      <c r="A236" s="9" t="str">
        <f t="shared" si="11"/>
        <v>01 MASTER REQUEST - SLAVE POLL</v>
      </c>
      <c r="B236" t="s">
        <v>122</v>
      </c>
      <c r="C236" s="7" t="str">
        <f t="shared" si="12"/>
        <v>10</v>
      </c>
      <c r="D236" s="8" t="s">
        <v>109</v>
      </c>
      <c r="E236" s="7" t="str">
        <f t="shared" si="13"/>
        <v>31</v>
      </c>
    </row>
    <row r="237" spans="1:5" x14ac:dyDescent="0.25">
      <c r="A237" s="9" t="str">
        <f t="shared" si="11"/>
        <v>95 MAGAZINE INFO - CD1 YES, CD2 YES, CD3 NO, CD4 NO, CD5 NO, CD6 NO</v>
      </c>
      <c r="B237" t="s">
        <v>128</v>
      </c>
      <c r="C237" s="7" t="str">
        <f t="shared" si="12"/>
        <v>31</v>
      </c>
      <c r="D237" s="8" t="s">
        <v>109</v>
      </c>
      <c r="E237" s="7" t="str">
        <f t="shared" si="13"/>
        <v>10</v>
      </c>
    </row>
    <row r="238" spans="1:5" x14ac:dyDescent="0.25">
      <c r="A238" s="9" t="str">
        <f t="shared" si="11"/>
        <v>01 MASTER REQUEST - SLAVE POLL</v>
      </c>
      <c r="B238" t="s">
        <v>122</v>
      </c>
      <c r="C238" s="7" t="str">
        <f t="shared" si="12"/>
        <v>10</v>
      </c>
      <c r="D238" s="8" t="s">
        <v>109</v>
      </c>
      <c r="E238" s="7" t="str">
        <f t="shared" si="13"/>
        <v>31</v>
      </c>
    </row>
    <row r="239" spans="1:5" x14ac:dyDescent="0.25">
      <c r="A239" s="9" t="str">
        <f t="shared" si="11"/>
        <v>97 DISC INFO - TRACKS: 10, MINS: 50, SECS: 13, DISC: 4</v>
      </c>
      <c r="B239" t="s">
        <v>180</v>
      </c>
      <c r="C239" s="7" t="str">
        <f t="shared" si="12"/>
        <v>31</v>
      </c>
      <c r="D239" s="8" t="s">
        <v>109</v>
      </c>
      <c r="E239" s="7" t="str">
        <f t="shared" si="13"/>
        <v>10</v>
      </c>
    </row>
    <row r="240" spans="1:5" x14ac:dyDescent="0.25">
      <c r="A240" s="9" t="str">
        <f t="shared" si="11"/>
        <v>84 REQUEST MORE TEXT FIELDS - SEND MAGAZINE INFO</v>
      </c>
      <c r="B240" t="s">
        <v>125</v>
      </c>
      <c r="C240" s="7" t="str">
        <f t="shared" si="12"/>
        <v>10</v>
      </c>
      <c r="D240" s="8" t="s">
        <v>109</v>
      </c>
      <c r="E240" s="7" t="str">
        <f t="shared" si="13"/>
        <v>31</v>
      </c>
    </row>
    <row r="241" spans="1:5" x14ac:dyDescent="0.25">
      <c r="A241" s="9" t="str">
        <f t="shared" si="11"/>
        <v>01 MASTER REQUEST - TIME POLL</v>
      </c>
      <c r="B241" t="s">
        <v>126</v>
      </c>
      <c r="C241" s="7" t="str">
        <f t="shared" si="12"/>
        <v>10</v>
      </c>
      <c r="D241" s="8" t="s">
        <v>109</v>
      </c>
      <c r="E241" s="7" t="str">
        <f t="shared" si="13"/>
        <v>31</v>
      </c>
    </row>
    <row r="242" spans="1:5" x14ac:dyDescent="0.25">
      <c r="A242" s="9" t="str">
        <f t="shared" si="11"/>
        <v>00 STATUS - IDLE</v>
      </c>
      <c r="B242" t="s">
        <v>132</v>
      </c>
      <c r="C242" s="7" t="str">
        <f t="shared" si="12"/>
        <v>31</v>
      </c>
      <c r="D242" s="8" t="s">
        <v>109</v>
      </c>
      <c r="E242" s="7" t="str">
        <f t="shared" si="13"/>
        <v>10</v>
      </c>
    </row>
    <row r="243" spans="1:5" x14ac:dyDescent="0.25">
      <c r="A243" s="9" t="str">
        <f t="shared" si="11"/>
        <v>84 REQUEST MORE TEXT FIELDS - SEND DISC INFO</v>
      </c>
      <c r="B243" t="s">
        <v>127</v>
      </c>
      <c r="C243" s="7" t="str">
        <f t="shared" si="12"/>
        <v>10</v>
      </c>
      <c r="D243" s="8" t="s">
        <v>109</v>
      </c>
      <c r="E243" s="7" t="str">
        <f t="shared" si="13"/>
        <v>31</v>
      </c>
    </row>
    <row r="244" spans="1:5" x14ac:dyDescent="0.25">
      <c r="A244" s="9" t="str">
        <f t="shared" si="11"/>
        <v>01 MASTER REQUEST - SLAVE POLL</v>
      </c>
      <c r="B244" t="s">
        <v>122</v>
      </c>
      <c r="C244" s="7" t="str">
        <f t="shared" si="12"/>
        <v>10</v>
      </c>
      <c r="D244" s="8" t="s">
        <v>109</v>
      </c>
      <c r="E244" s="7" t="str">
        <f t="shared" si="13"/>
        <v>31</v>
      </c>
    </row>
    <row r="245" spans="1:5" x14ac:dyDescent="0.25">
      <c r="A245" s="9" t="str">
        <f t="shared" si="11"/>
        <v>95 MAGAZINE INFO - CD1 YES, CD2 YES, CD3 NO, CD4 NO, CD5 NO, CD6 NO</v>
      </c>
      <c r="B245" t="s">
        <v>128</v>
      </c>
      <c r="C245" s="7" t="str">
        <f t="shared" si="12"/>
        <v>31</v>
      </c>
      <c r="D245" s="8" t="s">
        <v>109</v>
      </c>
      <c r="E245" s="7" t="str">
        <f t="shared" si="13"/>
        <v>10</v>
      </c>
    </row>
    <row r="246" spans="1:5" x14ac:dyDescent="0.25">
      <c r="A246" s="9" t="str">
        <f t="shared" si="11"/>
        <v>01 MASTER REQUEST - SLAVE POLL</v>
      </c>
      <c r="B246" t="s">
        <v>122</v>
      </c>
      <c r="C246" s="7" t="str">
        <f t="shared" si="12"/>
        <v>10</v>
      </c>
      <c r="D246" s="8" t="s">
        <v>109</v>
      </c>
      <c r="E246" s="7" t="str">
        <f t="shared" si="13"/>
        <v>31</v>
      </c>
    </row>
    <row r="247" spans="1:5" x14ac:dyDescent="0.25">
      <c r="A247" s="9" t="str">
        <f t="shared" si="11"/>
        <v>97 DISC INFO - TRACKS: 10, MINS: 50, SECS: 13, DISC: 5</v>
      </c>
      <c r="B247" t="s">
        <v>181</v>
      </c>
      <c r="C247" s="7" t="str">
        <f t="shared" si="12"/>
        <v>31</v>
      </c>
      <c r="D247" s="8" t="s">
        <v>109</v>
      </c>
      <c r="E247" s="7" t="str">
        <f t="shared" si="13"/>
        <v>10</v>
      </c>
    </row>
    <row r="248" spans="1:5" x14ac:dyDescent="0.25">
      <c r="A248" s="9" t="str">
        <f t="shared" si="11"/>
        <v>84 REQUEST MORE TEXT FIELDS - SEND MAGAZINE INFO</v>
      </c>
      <c r="B248" t="s">
        <v>125</v>
      </c>
      <c r="C248" s="7" t="str">
        <f t="shared" si="12"/>
        <v>10</v>
      </c>
      <c r="D248" s="8" t="s">
        <v>109</v>
      </c>
      <c r="E248" s="7" t="str">
        <f t="shared" si="13"/>
        <v>31</v>
      </c>
    </row>
    <row r="249" spans="1:5" x14ac:dyDescent="0.25">
      <c r="A249" s="9" t="str">
        <f t="shared" si="11"/>
        <v>01 MASTER REQUEST - TIME POLL</v>
      </c>
      <c r="B249" t="s">
        <v>126</v>
      </c>
      <c r="C249" s="7" t="str">
        <f t="shared" si="12"/>
        <v>10</v>
      </c>
      <c r="D249" s="8" t="s">
        <v>109</v>
      </c>
      <c r="E249" s="7" t="str">
        <f t="shared" si="13"/>
        <v>31</v>
      </c>
    </row>
    <row r="250" spans="1:5" x14ac:dyDescent="0.25">
      <c r="A250" s="9" t="str">
        <f t="shared" si="11"/>
        <v>00 STATUS - IDLE</v>
      </c>
      <c r="B250" t="s">
        <v>132</v>
      </c>
      <c r="C250" s="7" t="str">
        <f t="shared" si="12"/>
        <v>31</v>
      </c>
      <c r="D250" s="8" t="s">
        <v>109</v>
      </c>
      <c r="E250" s="7" t="str">
        <f t="shared" si="13"/>
        <v>10</v>
      </c>
    </row>
    <row r="251" spans="1:5" x14ac:dyDescent="0.25">
      <c r="A251" s="9" t="str">
        <f t="shared" si="11"/>
        <v>84 REQUEST MORE TEXT FIELDS - SEND DISC INFO</v>
      </c>
      <c r="B251" t="s">
        <v>127</v>
      </c>
      <c r="C251" s="7" t="str">
        <f t="shared" si="12"/>
        <v>10</v>
      </c>
      <c r="D251" s="8" t="s">
        <v>109</v>
      </c>
      <c r="E251" s="7" t="str">
        <f t="shared" si="13"/>
        <v>31</v>
      </c>
    </row>
    <row r="252" spans="1:5" x14ac:dyDescent="0.25">
      <c r="A252" s="9" t="str">
        <f t="shared" si="11"/>
        <v>01 MASTER REQUEST - SLAVE POLL</v>
      </c>
      <c r="B252" t="s">
        <v>122</v>
      </c>
      <c r="C252" s="7" t="str">
        <f t="shared" si="12"/>
        <v>10</v>
      </c>
      <c r="D252" s="8" t="s">
        <v>109</v>
      </c>
      <c r="E252" s="7" t="str">
        <f t="shared" si="13"/>
        <v>31</v>
      </c>
    </row>
    <row r="253" spans="1:5" x14ac:dyDescent="0.25">
      <c r="A253" s="9" t="str">
        <f t="shared" si="11"/>
        <v>95 MAGAZINE INFO - CD1 YES, CD2 YES, CD3 NO, CD4 NO, CD5 NO, CD6 NO</v>
      </c>
      <c r="B253" t="s">
        <v>128</v>
      </c>
      <c r="C253" s="7" t="str">
        <f t="shared" si="12"/>
        <v>31</v>
      </c>
      <c r="D253" s="8" t="s">
        <v>109</v>
      </c>
      <c r="E253" s="7" t="str">
        <f t="shared" si="13"/>
        <v>10</v>
      </c>
    </row>
    <row r="254" spans="1:5" x14ac:dyDescent="0.25">
      <c r="A254" s="9" t="str">
        <f t="shared" si="11"/>
        <v>01 MASTER REQUEST - SLAVE POLL</v>
      </c>
      <c r="B254" t="s">
        <v>122</v>
      </c>
      <c r="C254" s="7" t="str">
        <f t="shared" si="12"/>
        <v>10</v>
      </c>
      <c r="D254" s="8" t="s">
        <v>109</v>
      </c>
      <c r="E254" s="7" t="str">
        <f t="shared" si="13"/>
        <v>31</v>
      </c>
    </row>
    <row r="255" spans="1:5" x14ac:dyDescent="0.25">
      <c r="A255" s="9" t="str">
        <f t="shared" si="11"/>
        <v>97 DISC INFO - TRACKS: 10, MINS: 50, SECS: 13, DISC: 5</v>
      </c>
      <c r="B255" t="s">
        <v>181</v>
      </c>
      <c r="C255" s="7" t="str">
        <f t="shared" si="12"/>
        <v>31</v>
      </c>
      <c r="D255" s="8" t="s">
        <v>109</v>
      </c>
      <c r="E255" s="7" t="str">
        <f t="shared" si="13"/>
        <v>10</v>
      </c>
    </row>
    <row r="256" spans="1:5" x14ac:dyDescent="0.25">
      <c r="A256" s="9" t="str">
        <f t="shared" si="11"/>
        <v>84 REQUEST MORE TEXT FIELDS - SEND MAGAZINE INFO</v>
      </c>
      <c r="B256" t="s">
        <v>125</v>
      </c>
      <c r="C256" s="7" t="str">
        <f t="shared" si="12"/>
        <v>10</v>
      </c>
      <c r="D256" s="8" t="s">
        <v>109</v>
      </c>
      <c r="E256" s="7" t="str">
        <f t="shared" si="13"/>
        <v>31</v>
      </c>
    </row>
    <row r="257" spans="1:5" x14ac:dyDescent="0.25">
      <c r="A257" s="9" t="str">
        <f t="shared" si="11"/>
        <v>01 MASTER REQUEST - TIME POLL</v>
      </c>
      <c r="B257" t="s">
        <v>126</v>
      </c>
      <c r="C257" s="7" t="str">
        <f t="shared" si="12"/>
        <v>10</v>
      </c>
      <c r="D257" s="8" t="s">
        <v>109</v>
      </c>
      <c r="E257" s="7" t="str">
        <f t="shared" si="13"/>
        <v>31</v>
      </c>
    </row>
    <row r="258" spans="1:5" x14ac:dyDescent="0.25">
      <c r="A258" s="9" t="str">
        <f t="shared" si="11"/>
        <v>00 STATUS - IDLE</v>
      </c>
      <c r="B258" t="s">
        <v>132</v>
      </c>
      <c r="C258" s="7" t="str">
        <f t="shared" si="12"/>
        <v>31</v>
      </c>
      <c r="D258" s="8" t="s">
        <v>109</v>
      </c>
      <c r="E258" s="7" t="str">
        <f t="shared" si="13"/>
        <v>10</v>
      </c>
    </row>
    <row r="259" spans="1:5" x14ac:dyDescent="0.25">
      <c r="A259" s="9" t="str">
        <f t="shared" ref="A259:A322" si="14">ParseUnilink(B259)</f>
        <v>84 REQUEST MORE TEXT FIELDS - SEND DISC INFO</v>
      </c>
      <c r="B259" t="s">
        <v>127</v>
      </c>
      <c r="C259" s="7" t="str">
        <f t="shared" ref="C259:C322" si="15">MID(B259,4,2)</f>
        <v>10</v>
      </c>
      <c r="D259" s="8" t="s">
        <v>109</v>
      </c>
      <c r="E259" s="7" t="str">
        <f t="shared" ref="E259:E322" si="16">MID(B259,1,2)</f>
        <v>31</v>
      </c>
    </row>
    <row r="260" spans="1:5" x14ac:dyDescent="0.25">
      <c r="A260" s="9" t="str">
        <f t="shared" si="14"/>
        <v>01 MASTER REQUEST - SLAVE POLL</v>
      </c>
      <c r="B260" t="s">
        <v>122</v>
      </c>
      <c r="C260" s="7" t="str">
        <f t="shared" si="15"/>
        <v>10</v>
      </c>
      <c r="D260" s="8" t="s">
        <v>109</v>
      </c>
      <c r="E260" s="7" t="str">
        <f t="shared" si="16"/>
        <v>31</v>
      </c>
    </row>
    <row r="261" spans="1:5" x14ac:dyDescent="0.25">
      <c r="A261" s="9" t="str">
        <f t="shared" si="14"/>
        <v>95 MAGAZINE INFO - CD1 YES, CD2 YES, CD3 NO, CD4 NO, CD5 NO, CD6 NO</v>
      </c>
      <c r="B261" t="s">
        <v>128</v>
      </c>
      <c r="C261" s="7" t="str">
        <f t="shared" si="15"/>
        <v>31</v>
      </c>
      <c r="D261" s="8" t="s">
        <v>109</v>
      </c>
      <c r="E261" s="7" t="str">
        <f t="shared" si="16"/>
        <v>10</v>
      </c>
    </row>
    <row r="262" spans="1:5" x14ac:dyDescent="0.25">
      <c r="A262" s="9" t="str">
        <f t="shared" si="14"/>
        <v>01 MASTER REQUEST - SLAVE POLL</v>
      </c>
      <c r="B262" t="s">
        <v>122</v>
      </c>
      <c r="C262" s="7" t="str">
        <f t="shared" si="15"/>
        <v>10</v>
      </c>
      <c r="D262" s="8" t="s">
        <v>109</v>
      </c>
      <c r="E262" s="7" t="str">
        <f t="shared" si="16"/>
        <v>31</v>
      </c>
    </row>
    <row r="263" spans="1:5" x14ac:dyDescent="0.25">
      <c r="A263" s="9" t="str">
        <f t="shared" si="14"/>
        <v>97 DISC INFO - TRACKS: 10, MINS: 50, SECS: 13, DISC: 5</v>
      </c>
      <c r="B263" t="s">
        <v>181</v>
      </c>
      <c r="C263" s="7" t="str">
        <f t="shared" si="15"/>
        <v>31</v>
      </c>
      <c r="D263" s="8" t="s">
        <v>109</v>
      </c>
      <c r="E263" s="7" t="str">
        <f t="shared" si="16"/>
        <v>10</v>
      </c>
    </row>
    <row r="264" spans="1:5" x14ac:dyDescent="0.25">
      <c r="A264" s="9" t="str">
        <f t="shared" si="14"/>
        <v>84 REQUEST MORE TEXT FIELDS - SEND MAGAZINE INFO</v>
      </c>
      <c r="B264" t="s">
        <v>125</v>
      </c>
      <c r="C264" s="7" t="str">
        <f t="shared" si="15"/>
        <v>10</v>
      </c>
      <c r="D264" s="8" t="s">
        <v>109</v>
      </c>
      <c r="E264" s="7" t="str">
        <f t="shared" si="16"/>
        <v>31</v>
      </c>
    </row>
    <row r="265" spans="1:5" x14ac:dyDescent="0.25">
      <c r="A265" s="9" t="str">
        <f t="shared" si="14"/>
        <v>01 MASTER REQUEST - TIME POLL</v>
      </c>
      <c r="B265" t="s">
        <v>126</v>
      </c>
      <c r="C265" s="7" t="str">
        <f t="shared" si="15"/>
        <v>10</v>
      </c>
      <c r="D265" s="8" t="s">
        <v>109</v>
      </c>
      <c r="E265" s="7" t="str">
        <f t="shared" si="16"/>
        <v>31</v>
      </c>
    </row>
    <row r="266" spans="1:5" x14ac:dyDescent="0.25">
      <c r="A266" s="9" t="str">
        <f t="shared" si="14"/>
        <v>00 STATUS - IDLE</v>
      </c>
      <c r="B266" t="s">
        <v>132</v>
      </c>
      <c r="C266" s="7" t="str">
        <f t="shared" si="15"/>
        <v>31</v>
      </c>
      <c r="D266" s="8" t="s">
        <v>109</v>
      </c>
      <c r="E266" s="7" t="str">
        <f t="shared" si="16"/>
        <v>10</v>
      </c>
    </row>
    <row r="267" spans="1:5" x14ac:dyDescent="0.25">
      <c r="A267" s="9" t="str">
        <f t="shared" si="14"/>
        <v>84 REQUEST MORE TEXT FIELDS - SEND DISC INFO</v>
      </c>
      <c r="B267" t="s">
        <v>127</v>
      </c>
      <c r="C267" s="7" t="str">
        <f t="shared" si="15"/>
        <v>10</v>
      </c>
      <c r="D267" s="8" t="s">
        <v>109</v>
      </c>
      <c r="E267" s="7" t="str">
        <f t="shared" si="16"/>
        <v>31</v>
      </c>
    </row>
    <row r="268" spans="1:5" x14ac:dyDescent="0.25">
      <c r="A268" s="9" t="str">
        <f t="shared" si="14"/>
        <v>01 MASTER REQUEST - SLAVE POLL</v>
      </c>
      <c r="B268" t="s">
        <v>122</v>
      </c>
      <c r="C268" s="7" t="str">
        <f t="shared" si="15"/>
        <v>10</v>
      </c>
      <c r="D268" s="8" t="s">
        <v>109</v>
      </c>
      <c r="E268" s="7" t="str">
        <f t="shared" si="16"/>
        <v>31</v>
      </c>
    </row>
    <row r="269" spans="1:5" x14ac:dyDescent="0.25">
      <c r="A269" s="9" t="str">
        <f t="shared" si="14"/>
        <v>95 MAGAZINE INFO - CD1 YES, CD2 YES, CD3 NO, CD4 NO, CD5 NO, CD6 NO</v>
      </c>
      <c r="B269" t="s">
        <v>128</v>
      </c>
      <c r="C269" s="7" t="str">
        <f t="shared" si="15"/>
        <v>31</v>
      </c>
      <c r="D269" s="8" t="s">
        <v>109</v>
      </c>
      <c r="E269" s="7" t="str">
        <f t="shared" si="16"/>
        <v>10</v>
      </c>
    </row>
    <row r="270" spans="1:5" x14ac:dyDescent="0.25">
      <c r="A270" s="9" t="str">
        <f t="shared" si="14"/>
        <v>01 MASTER REQUEST - SLAVE POLL</v>
      </c>
      <c r="B270" t="s">
        <v>122</v>
      </c>
      <c r="C270" s="7" t="str">
        <f t="shared" si="15"/>
        <v>10</v>
      </c>
      <c r="D270" s="8" t="s">
        <v>109</v>
      </c>
      <c r="E270" s="7" t="str">
        <f t="shared" si="16"/>
        <v>31</v>
      </c>
    </row>
    <row r="271" spans="1:5" x14ac:dyDescent="0.25">
      <c r="A271" s="9" t="str">
        <f t="shared" si="14"/>
        <v>97 DISC INFO - TRACKS: 10, MINS: 50, SECS: 13, DISC: 5</v>
      </c>
      <c r="B271" t="s">
        <v>181</v>
      </c>
      <c r="C271" s="7" t="str">
        <f t="shared" si="15"/>
        <v>31</v>
      </c>
      <c r="D271" s="8" t="s">
        <v>109</v>
      </c>
      <c r="E271" s="7" t="str">
        <f t="shared" si="16"/>
        <v>10</v>
      </c>
    </row>
    <row r="272" spans="1:5" x14ac:dyDescent="0.25">
      <c r="A272" s="9" t="str">
        <f t="shared" si="14"/>
        <v>84 REQUEST MORE TEXT FIELDS - SEND MAGAZINE INFO</v>
      </c>
      <c r="B272" t="s">
        <v>125</v>
      </c>
      <c r="C272" s="7" t="str">
        <f t="shared" si="15"/>
        <v>10</v>
      </c>
      <c r="D272" s="8" t="s">
        <v>109</v>
      </c>
      <c r="E272" s="7" t="str">
        <f t="shared" si="16"/>
        <v>31</v>
      </c>
    </row>
    <row r="273" spans="1:5" x14ac:dyDescent="0.25">
      <c r="A273" s="9" t="str">
        <f t="shared" si="14"/>
        <v>01 MASTER REQUEST - TIME POLL</v>
      </c>
      <c r="B273" t="s">
        <v>126</v>
      </c>
      <c r="C273" s="7" t="str">
        <f t="shared" si="15"/>
        <v>10</v>
      </c>
      <c r="D273" s="8" t="s">
        <v>109</v>
      </c>
      <c r="E273" s="7" t="str">
        <f t="shared" si="16"/>
        <v>31</v>
      </c>
    </row>
    <row r="274" spans="1:5" x14ac:dyDescent="0.25">
      <c r="A274" s="9" t="str">
        <f t="shared" si="14"/>
        <v>00 STATUS - IDLE</v>
      </c>
      <c r="B274" t="s">
        <v>132</v>
      </c>
      <c r="C274" s="7" t="str">
        <f t="shared" si="15"/>
        <v>31</v>
      </c>
      <c r="D274" s="8" t="s">
        <v>109</v>
      </c>
      <c r="E274" s="7" t="str">
        <f t="shared" si="16"/>
        <v>10</v>
      </c>
    </row>
    <row r="275" spans="1:5" x14ac:dyDescent="0.25">
      <c r="A275" s="9" t="str">
        <f t="shared" si="14"/>
        <v>84 REQUEST MORE TEXT FIELDS - SEND DISC INFO</v>
      </c>
      <c r="B275" t="s">
        <v>127</v>
      </c>
      <c r="C275" s="7" t="str">
        <f t="shared" si="15"/>
        <v>10</v>
      </c>
      <c r="D275" s="8" t="s">
        <v>109</v>
      </c>
      <c r="E275" s="7" t="str">
        <f t="shared" si="16"/>
        <v>31</v>
      </c>
    </row>
    <row r="276" spans="1:5" x14ac:dyDescent="0.25">
      <c r="A276" s="9" t="str">
        <f t="shared" si="14"/>
        <v>01 MASTER REQUEST - SLAVE POLL</v>
      </c>
      <c r="B276" t="s">
        <v>122</v>
      </c>
      <c r="C276" s="7" t="str">
        <f t="shared" si="15"/>
        <v>10</v>
      </c>
      <c r="D276" s="8" t="s">
        <v>109</v>
      </c>
      <c r="E276" s="7" t="str">
        <f t="shared" si="16"/>
        <v>31</v>
      </c>
    </row>
    <row r="277" spans="1:5" x14ac:dyDescent="0.25">
      <c r="A277" s="9" t="str">
        <f t="shared" si="14"/>
        <v>95 MAGAZINE INFO - CD1 YES, CD2 YES, CD3 NO, CD4 NO, CD5 NO, CD6 NO</v>
      </c>
      <c r="B277" t="s">
        <v>128</v>
      </c>
      <c r="C277" s="7" t="str">
        <f t="shared" si="15"/>
        <v>31</v>
      </c>
      <c r="D277" s="8" t="s">
        <v>109</v>
      </c>
      <c r="E277" s="7" t="str">
        <f t="shared" si="16"/>
        <v>10</v>
      </c>
    </row>
    <row r="278" spans="1:5" x14ac:dyDescent="0.25">
      <c r="A278" s="9" t="str">
        <f t="shared" si="14"/>
        <v>01 MASTER REQUEST - SLAVE POLL</v>
      </c>
      <c r="B278" t="s">
        <v>122</v>
      </c>
      <c r="C278" s="7" t="str">
        <f t="shared" si="15"/>
        <v>10</v>
      </c>
      <c r="D278" s="8" t="s">
        <v>109</v>
      </c>
      <c r="E278" s="7" t="str">
        <f t="shared" si="16"/>
        <v>31</v>
      </c>
    </row>
    <row r="279" spans="1:5" x14ac:dyDescent="0.25">
      <c r="A279" s="9" t="str">
        <f t="shared" si="14"/>
        <v>97 DISC INFO - TRACKS: 10, MINS: 50, SECS: 13, DISC: 5</v>
      </c>
      <c r="B279" t="s">
        <v>181</v>
      </c>
      <c r="C279" s="7" t="str">
        <f t="shared" si="15"/>
        <v>31</v>
      </c>
      <c r="D279" s="8" t="s">
        <v>109</v>
      </c>
      <c r="E279" s="7" t="str">
        <f t="shared" si="16"/>
        <v>10</v>
      </c>
    </row>
    <row r="280" spans="1:5" x14ac:dyDescent="0.25">
      <c r="A280" s="9" t="str">
        <f t="shared" si="14"/>
        <v>84 REQUEST MORE TEXT FIELDS - SEND MAGAZINE INFO</v>
      </c>
      <c r="B280" t="s">
        <v>125</v>
      </c>
      <c r="C280" s="7" t="str">
        <f t="shared" si="15"/>
        <v>10</v>
      </c>
      <c r="D280" s="8" t="s">
        <v>109</v>
      </c>
      <c r="E280" s="7" t="str">
        <f t="shared" si="16"/>
        <v>31</v>
      </c>
    </row>
    <row r="281" spans="1:5" x14ac:dyDescent="0.25">
      <c r="A281" s="9" t="str">
        <f t="shared" si="14"/>
        <v>01 MASTER REQUEST - TIME POLL</v>
      </c>
      <c r="B281" t="s">
        <v>126</v>
      </c>
      <c r="C281" s="7" t="str">
        <f t="shared" si="15"/>
        <v>10</v>
      </c>
      <c r="D281" s="8" t="s">
        <v>109</v>
      </c>
      <c r="E281" s="7" t="str">
        <f t="shared" si="16"/>
        <v>31</v>
      </c>
    </row>
    <row r="282" spans="1:5" x14ac:dyDescent="0.25">
      <c r="A282" s="9" t="str">
        <f t="shared" si="14"/>
        <v>00 STATUS - IDLE</v>
      </c>
      <c r="B282" t="s">
        <v>132</v>
      </c>
      <c r="C282" s="7" t="str">
        <f t="shared" si="15"/>
        <v>31</v>
      </c>
      <c r="D282" s="8" t="s">
        <v>109</v>
      </c>
      <c r="E282" s="7" t="str">
        <f t="shared" si="16"/>
        <v>10</v>
      </c>
    </row>
    <row r="283" spans="1:5" x14ac:dyDescent="0.25">
      <c r="A283" s="9" t="str">
        <f t="shared" si="14"/>
        <v>84 REQUEST MORE TEXT FIELDS - SEND DISC INFO</v>
      </c>
      <c r="B283" t="s">
        <v>127</v>
      </c>
      <c r="C283" s="7" t="str">
        <f t="shared" si="15"/>
        <v>10</v>
      </c>
      <c r="D283" s="8" t="s">
        <v>109</v>
      </c>
      <c r="E283" s="7" t="str">
        <f t="shared" si="16"/>
        <v>31</v>
      </c>
    </row>
    <row r="284" spans="1:5" x14ac:dyDescent="0.25">
      <c r="A284" s="9" t="str">
        <f t="shared" si="14"/>
        <v>01 MASTER REQUEST - SLAVE POLL</v>
      </c>
      <c r="B284" t="s">
        <v>122</v>
      </c>
      <c r="C284" s="7" t="str">
        <f t="shared" si="15"/>
        <v>10</v>
      </c>
      <c r="D284" s="8" t="s">
        <v>109</v>
      </c>
      <c r="E284" s="7" t="str">
        <f t="shared" si="16"/>
        <v>31</v>
      </c>
    </row>
    <row r="285" spans="1:5" x14ac:dyDescent="0.25">
      <c r="A285" s="9" t="str">
        <f t="shared" si="14"/>
        <v>95 MAGAZINE INFO - CD1 YES, CD2 YES, CD3 NO, CD4 NO, CD5 NO, CD6 NO</v>
      </c>
      <c r="B285" t="s">
        <v>128</v>
      </c>
      <c r="C285" s="7" t="str">
        <f t="shared" si="15"/>
        <v>31</v>
      </c>
      <c r="D285" s="8" t="s">
        <v>109</v>
      </c>
      <c r="E285" s="7" t="str">
        <f t="shared" si="16"/>
        <v>10</v>
      </c>
    </row>
    <row r="286" spans="1:5" x14ac:dyDescent="0.25">
      <c r="A286" s="9" t="str">
        <f t="shared" si="14"/>
        <v>01 MASTER REQUEST - SLAVE POLL</v>
      </c>
      <c r="B286" t="s">
        <v>122</v>
      </c>
      <c r="C286" s="7" t="str">
        <f t="shared" si="15"/>
        <v>10</v>
      </c>
      <c r="D286" s="8" t="s">
        <v>109</v>
      </c>
      <c r="E286" s="7" t="str">
        <f t="shared" si="16"/>
        <v>31</v>
      </c>
    </row>
    <row r="287" spans="1:5" x14ac:dyDescent="0.25">
      <c r="A287" s="9" t="str">
        <f t="shared" si="14"/>
        <v>97 DISC INFO - TRACKS: 10, MINS: 50, SECS: 13, DISC: 6</v>
      </c>
      <c r="B287" t="s">
        <v>182</v>
      </c>
      <c r="C287" s="7" t="str">
        <f t="shared" si="15"/>
        <v>31</v>
      </c>
      <c r="D287" s="8" t="s">
        <v>109</v>
      </c>
      <c r="E287" s="7" t="str">
        <f t="shared" si="16"/>
        <v>10</v>
      </c>
    </row>
    <row r="288" spans="1:5" x14ac:dyDescent="0.25">
      <c r="A288" s="9" t="str">
        <f t="shared" si="14"/>
        <v>84 REQUEST MORE TEXT FIELDS - SEND MAGAZINE INFO</v>
      </c>
      <c r="B288" t="s">
        <v>125</v>
      </c>
      <c r="C288" s="7" t="str">
        <f t="shared" si="15"/>
        <v>10</v>
      </c>
      <c r="D288" s="8" t="s">
        <v>109</v>
      </c>
      <c r="E288" s="7" t="str">
        <f t="shared" si="16"/>
        <v>31</v>
      </c>
    </row>
    <row r="289" spans="1:5" x14ac:dyDescent="0.25">
      <c r="A289" s="9" t="str">
        <f t="shared" si="14"/>
        <v>01 MASTER REQUEST - TIME POLL</v>
      </c>
      <c r="B289" t="s">
        <v>126</v>
      </c>
      <c r="C289" s="7" t="str">
        <f t="shared" si="15"/>
        <v>10</v>
      </c>
      <c r="D289" s="8" t="s">
        <v>109</v>
      </c>
      <c r="E289" s="7" t="str">
        <f t="shared" si="16"/>
        <v>31</v>
      </c>
    </row>
    <row r="290" spans="1:5" x14ac:dyDescent="0.25">
      <c r="A290" s="9" t="str">
        <f t="shared" si="14"/>
        <v>00 STATUS - IDLE</v>
      </c>
      <c r="B290" t="s">
        <v>132</v>
      </c>
      <c r="C290" s="7" t="str">
        <f t="shared" si="15"/>
        <v>31</v>
      </c>
      <c r="D290" s="8" t="s">
        <v>109</v>
      </c>
      <c r="E290" s="7" t="str">
        <f t="shared" si="16"/>
        <v>10</v>
      </c>
    </row>
    <row r="291" spans="1:5" x14ac:dyDescent="0.25">
      <c r="A291" s="9" t="str">
        <f t="shared" si="14"/>
        <v>84 REQUEST MORE TEXT FIELDS - SEND DISC INFO</v>
      </c>
      <c r="B291" t="s">
        <v>127</v>
      </c>
      <c r="C291" s="7" t="str">
        <f t="shared" si="15"/>
        <v>10</v>
      </c>
      <c r="D291" s="8" t="s">
        <v>109</v>
      </c>
      <c r="E291" s="7" t="str">
        <f t="shared" si="16"/>
        <v>31</v>
      </c>
    </row>
    <row r="292" spans="1:5" x14ac:dyDescent="0.25">
      <c r="A292" s="9" t="str">
        <f t="shared" si="14"/>
        <v>01 MASTER REQUEST - SLAVE POLL</v>
      </c>
      <c r="B292" t="s">
        <v>122</v>
      </c>
      <c r="C292" s="7" t="str">
        <f t="shared" si="15"/>
        <v>10</v>
      </c>
      <c r="D292" s="8" t="s">
        <v>109</v>
      </c>
      <c r="E292" s="7" t="str">
        <f t="shared" si="16"/>
        <v>31</v>
      </c>
    </row>
    <row r="293" spans="1:5" x14ac:dyDescent="0.25">
      <c r="A293" s="9" t="str">
        <f t="shared" si="14"/>
        <v>95 MAGAZINE INFO - CD1 YES, CD2 YES, CD3 NO, CD4 NO, CD5 NO, CD6 NO</v>
      </c>
      <c r="B293" t="s">
        <v>128</v>
      </c>
      <c r="C293" s="7" t="str">
        <f t="shared" si="15"/>
        <v>31</v>
      </c>
      <c r="D293" s="8" t="s">
        <v>109</v>
      </c>
      <c r="E293" s="7" t="str">
        <f t="shared" si="16"/>
        <v>10</v>
      </c>
    </row>
    <row r="294" spans="1:5" x14ac:dyDescent="0.25">
      <c r="A294" s="9" t="str">
        <f t="shared" si="14"/>
        <v>01 MASTER REQUEST - SLAVE POLL</v>
      </c>
      <c r="B294" t="s">
        <v>122</v>
      </c>
      <c r="C294" s="7" t="str">
        <f t="shared" si="15"/>
        <v>10</v>
      </c>
      <c r="D294" s="8" t="s">
        <v>109</v>
      </c>
      <c r="E294" s="7" t="str">
        <f t="shared" si="16"/>
        <v>31</v>
      </c>
    </row>
    <row r="295" spans="1:5" x14ac:dyDescent="0.25">
      <c r="A295" s="9" t="str">
        <f t="shared" si="14"/>
        <v>97 DISC INFO - TRACKS: 10, MINS: 50, SECS: 13, DISC: 6</v>
      </c>
      <c r="B295" t="s">
        <v>182</v>
      </c>
      <c r="C295" s="7" t="str">
        <f t="shared" si="15"/>
        <v>31</v>
      </c>
      <c r="D295" s="8" t="s">
        <v>109</v>
      </c>
      <c r="E295" s="7" t="str">
        <f t="shared" si="16"/>
        <v>10</v>
      </c>
    </row>
    <row r="296" spans="1:5" x14ac:dyDescent="0.25">
      <c r="A296" s="9" t="str">
        <f t="shared" si="14"/>
        <v>84 REQUEST MORE TEXT FIELDS - SEND MAGAZINE INFO</v>
      </c>
      <c r="B296" t="s">
        <v>125</v>
      </c>
      <c r="C296" s="7" t="str">
        <f t="shared" si="15"/>
        <v>10</v>
      </c>
      <c r="D296" s="8" t="s">
        <v>109</v>
      </c>
      <c r="E296" s="7" t="str">
        <f t="shared" si="16"/>
        <v>31</v>
      </c>
    </row>
    <row r="297" spans="1:5" x14ac:dyDescent="0.25">
      <c r="A297" s="9" t="str">
        <f t="shared" si="14"/>
        <v>01 MASTER REQUEST - TIME POLL</v>
      </c>
      <c r="B297" t="s">
        <v>126</v>
      </c>
      <c r="C297" s="7" t="str">
        <f t="shared" si="15"/>
        <v>10</v>
      </c>
      <c r="D297" s="8" t="s">
        <v>109</v>
      </c>
      <c r="E297" s="7" t="str">
        <f t="shared" si="16"/>
        <v>31</v>
      </c>
    </row>
    <row r="298" spans="1:5" x14ac:dyDescent="0.25">
      <c r="A298" s="9" t="str">
        <f t="shared" si="14"/>
        <v>00 STATUS - IDLE</v>
      </c>
      <c r="B298" t="s">
        <v>132</v>
      </c>
      <c r="C298" s="7" t="str">
        <f t="shared" si="15"/>
        <v>31</v>
      </c>
      <c r="D298" s="8" t="s">
        <v>109</v>
      </c>
      <c r="E298" s="7" t="str">
        <f t="shared" si="16"/>
        <v>10</v>
      </c>
    </row>
    <row r="299" spans="1:5" x14ac:dyDescent="0.25">
      <c r="A299" s="9" t="str">
        <f t="shared" si="14"/>
        <v>84 REQUEST MORE TEXT FIELDS - SEND DISC INFO</v>
      </c>
      <c r="B299" t="s">
        <v>127</v>
      </c>
      <c r="C299" s="7" t="str">
        <f t="shared" si="15"/>
        <v>10</v>
      </c>
      <c r="D299" s="8" t="s">
        <v>109</v>
      </c>
      <c r="E299" s="7" t="str">
        <f t="shared" si="16"/>
        <v>31</v>
      </c>
    </row>
    <row r="300" spans="1:5" x14ac:dyDescent="0.25">
      <c r="A300" s="9" t="str">
        <f t="shared" si="14"/>
        <v>01 MASTER REQUEST - SLAVE POLL</v>
      </c>
      <c r="B300" t="s">
        <v>122</v>
      </c>
      <c r="C300" s="7" t="str">
        <f t="shared" si="15"/>
        <v>10</v>
      </c>
      <c r="D300" s="8" t="s">
        <v>109</v>
      </c>
      <c r="E300" s="7" t="str">
        <f t="shared" si="16"/>
        <v>31</v>
      </c>
    </row>
    <row r="301" spans="1:5" x14ac:dyDescent="0.25">
      <c r="A301" s="9" t="str">
        <f t="shared" si="14"/>
        <v>95 MAGAZINE INFO - CD1 YES, CD2 YES, CD3 NO, CD4 NO, CD5 NO, CD6 NO</v>
      </c>
      <c r="B301" t="s">
        <v>128</v>
      </c>
      <c r="C301" s="7" t="str">
        <f t="shared" si="15"/>
        <v>31</v>
      </c>
      <c r="D301" s="8" t="s">
        <v>109</v>
      </c>
      <c r="E301" s="7" t="str">
        <f t="shared" si="16"/>
        <v>10</v>
      </c>
    </row>
    <row r="302" spans="1:5" x14ac:dyDescent="0.25">
      <c r="A302" s="9" t="str">
        <f t="shared" si="14"/>
        <v>01 MASTER REQUEST - SLAVE POLL</v>
      </c>
      <c r="B302" t="s">
        <v>122</v>
      </c>
      <c r="C302" s="7" t="str">
        <f t="shared" si="15"/>
        <v>10</v>
      </c>
      <c r="D302" s="8" t="s">
        <v>109</v>
      </c>
      <c r="E302" s="7" t="str">
        <f t="shared" si="16"/>
        <v>31</v>
      </c>
    </row>
    <row r="303" spans="1:5" x14ac:dyDescent="0.25">
      <c r="A303" s="9" t="str">
        <f t="shared" si="14"/>
        <v>97 DISC INFO - TRACKS: 10, MINS: 50, SECS: 13, DISC: 6</v>
      </c>
      <c r="B303" t="s">
        <v>182</v>
      </c>
      <c r="C303" s="7" t="str">
        <f t="shared" si="15"/>
        <v>31</v>
      </c>
      <c r="D303" s="8" t="s">
        <v>109</v>
      </c>
      <c r="E303" s="7" t="str">
        <f t="shared" si="16"/>
        <v>10</v>
      </c>
    </row>
    <row r="304" spans="1:5" x14ac:dyDescent="0.25">
      <c r="A304" s="9" t="str">
        <f t="shared" si="14"/>
        <v>84 REQUEST MORE TEXT FIELDS - SEND MAGAZINE INFO</v>
      </c>
      <c r="B304" t="s">
        <v>125</v>
      </c>
      <c r="C304" s="7" t="str">
        <f t="shared" si="15"/>
        <v>10</v>
      </c>
      <c r="D304" s="8" t="s">
        <v>109</v>
      </c>
      <c r="E304" s="7" t="str">
        <f t="shared" si="16"/>
        <v>31</v>
      </c>
    </row>
    <row r="305" spans="1:5" x14ac:dyDescent="0.25">
      <c r="A305" s="9" t="str">
        <f t="shared" si="14"/>
        <v>01 MASTER REQUEST - TIME POLL</v>
      </c>
      <c r="B305" t="s">
        <v>126</v>
      </c>
      <c r="C305" s="7" t="str">
        <f t="shared" si="15"/>
        <v>10</v>
      </c>
      <c r="D305" s="8" t="s">
        <v>109</v>
      </c>
      <c r="E305" s="7" t="str">
        <f t="shared" si="16"/>
        <v>31</v>
      </c>
    </row>
    <row r="306" spans="1:5" x14ac:dyDescent="0.25">
      <c r="A306" s="9" t="str">
        <f t="shared" si="14"/>
        <v>00 STATUS - IDLE</v>
      </c>
      <c r="B306" t="s">
        <v>132</v>
      </c>
      <c r="C306" s="7" t="str">
        <f t="shared" si="15"/>
        <v>31</v>
      </c>
      <c r="D306" s="8" t="s">
        <v>109</v>
      </c>
      <c r="E306" s="7" t="str">
        <f t="shared" si="16"/>
        <v>10</v>
      </c>
    </row>
    <row r="307" spans="1:5" x14ac:dyDescent="0.25">
      <c r="A307" s="9" t="str">
        <f t="shared" si="14"/>
        <v>84 REQUEST MORE TEXT FIELDS - SEND DISC INFO</v>
      </c>
      <c r="B307" t="s">
        <v>127</v>
      </c>
      <c r="C307" s="7" t="str">
        <f t="shared" si="15"/>
        <v>10</v>
      </c>
      <c r="D307" s="8" t="s">
        <v>109</v>
      </c>
      <c r="E307" s="7" t="str">
        <f t="shared" si="16"/>
        <v>31</v>
      </c>
    </row>
    <row r="308" spans="1:5" x14ac:dyDescent="0.25">
      <c r="A308" s="9" t="str">
        <f t="shared" si="14"/>
        <v>01 MASTER REQUEST - SLAVE POLL</v>
      </c>
      <c r="B308" t="s">
        <v>122</v>
      </c>
      <c r="C308" s="7" t="str">
        <f t="shared" si="15"/>
        <v>10</v>
      </c>
      <c r="D308" s="8" t="s">
        <v>109</v>
      </c>
      <c r="E308" s="7" t="str">
        <f t="shared" si="16"/>
        <v>31</v>
      </c>
    </row>
    <row r="309" spans="1:5" x14ac:dyDescent="0.25">
      <c r="A309" s="9" t="str">
        <f t="shared" si="14"/>
        <v>95 MAGAZINE INFO - CD1 YES, CD2 YES, CD3 NO, CD4 NO, CD5 NO, CD6 NO</v>
      </c>
      <c r="B309" t="s">
        <v>128</v>
      </c>
      <c r="C309" s="7" t="str">
        <f t="shared" si="15"/>
        <v>31</v>
      </c>
      <c r="D309" s="8" t="s">
        <v>109</v>
      </c>
      <c r="E309" s="7" t="str">
        <f t="shared" si="16"/>
        <v>10</v>
      </c>
    </row>
    <row r="310" spans="1:5" x14ac:dyDescent="0.25">
      <c r="A310" s="9" t="str">
        <f t="shared" si="14"/>
        <v>01 MASTER REQUEST - SLAVE POLL</v>
      </c>
      <c r="B310" t="s">
        <v>122</v>
      </c>
      <c r="C310" s="7" t="str">
        <f t="shared" si="15"/>
        <v>10</v>
      </c>
      <c r="D310" s="8" t="s">
        <v>109</v>
      </c>
      <c r="E310" s="7" t="str">
        <f t="shared" si="16"/>
        <v>31</v>
      </c>
    </row>
    <row r="311" spans="1:5" x14ac:dyDescent="0.25">
      <c r="A311" s="9" t="str">
        <f t="shared" si="14"/>
        <v>97 DISC INFO - TRACKS: 10, MINS: 50, SECS: 13, DISC: 6</v>
      </c>
      <c r="B311" t="s">
        <v>182</v>
      </c>
      <c r="C311" s="7" t="str">
        <f t="shared" si="15"/>
        <v>31</v>
      </c>
      <c r="D311" s="8" t="s">
        <v>109</v>
      </c>
      <c r="E311" s="7" t="str">
        <f t="shared" si="16"/>
        <v>10</v>
      </c>
    </row>
    <row r="312" spans="1:5" x14ac:dyDescent="0.25">
      <c r="A312" s="9" t="str">
        <f t="shared" si="14"/>
        <v>84 REQUEST MORE TEXT FIELDS - SEND MAGAZINE INFO</v>
      </c>
      <c r="B312" t="s">
        <v>125</v>
      </c>
      <c r="C312" s="7" t="str">
        <f t="shared" si="15"/>
        <v>10</v>
      </c>
      <c r="D312" s="8" t="s">
        <v>109</v>
      </c>
      <c r="E312" s="7" t="str">
        <f t="shared" si="16"/>
        <v>31</v>
      </c>
    </row>
    <row r="313" spans="1:5" x14ac:dyDescent="0.25">
      <c r="A313" s="9" t="str">
        <f t="shared" si="14"/>
        <v>01 MASTER REQUEST - TIME POLL</v>
      </c>
      <c r="B313" t="s">
        <v>126</v>
      </c>
      <c r="C313" s="7" t="str">
        <f t="shared" si="15"/>
        <v>10</v>
      </c>
      <c r="D313" s="8" t="s">
        <v>109</v>
      </c>
      <c r="E313" s="7" t="str">
        <f t="shared" si="16"/>
        <v>31</v>
      </c>
    </row>
    <row r="314" spans="1:5" x14ac:dyDescent="0.25">
      <c r="A314" s="9" t="str">
        <f t="shared" si="14"/>
        <v>00 STATUS - IDLE</v>
      </c>
      <c r="B314" t="s">
        <v>132</v>
      </c>
      <c r="C314" s="7" t="str">
        <f t="shared" si="15"/>
        <v>31</v>
      </c>
      <c r="D314" s="8" t="s">
        <v>109</v>
      </c>
      <c r="E314" s="7" t="str">
        <f t="shared" si="16"/>
        <v>10</v>
      </c>
    </row>
    <row r="315" spans="1:5" x14ac:dyDescent="0.25">
      <c r="A315" s="9" t="str">
        <f t="shared" si="14"/>
        <v>84 REQUEST MORE TEXT FIELDS - SEND DISC INFO</v>
      </c>
      <c r="B315" t="s">
        <v>127</v>
      </c>
      <c r="C315" s="7" t="str">
        <f t="shared" si="15"/>
        <v>10</v>
      </c>
      <c r="D315" s="8" t="s">
        <v>109</v>
      </c>
      <c r="E315" s="7" t="str">
        <f t="shared" si="16"/>
        <v>31</v>
      </c>
    </row>
    <row r="316" spans="1:5" x14ac:dyDescent="0.25">
      <c r="A316" s="9" t="str">
        <f t="shared" si="14"/>
        <v>01 MASTER REQUEST - SLAVE POLL</v>
      </c>
      <c r="B316" t="s">
        <v>122</v>
      </c>
      <c r="C316" s="7" t="str">
        <f t="shared" si="15"/>
        <v>10</v>
      </c>
      <c r="D316" s="8" t="s">
        <v>109</v>
      </c>
      <c r="E316" s="7" t="str">
        <f t="shared" si="16"/>
        <v>31</v>
      </c>
    </row>
    <row r="317" spans="1:5" x14ac:dyDescent="0.25">
      <c r="A317" s="9" t="str">
        <f t="shared" si="14"/>
        <v>95 MAGAZINE INFO - CD1 YES, CD2 YES, CD3 NO, CD4 NO, CD5 NO, CD6 NO</v>
      </c>
      <c r="B317" t="s">
        <v>128</v>
      </c>
      <c r="C317" s="7" t="str">
        <f t="shared" si="15"/>
        <v>31</v>
      </c>
      <c r="D317" s="8" t="s">
        <v>109</v>
      </c>
      <c r="E317" s="7" t="str">
        <f t="shared" si="16"/>
        <v>10</v>
      </c>
    </row>
    <row r="318" spans="1:5" x14ac:dyDescent="0.25">
      <c r="A318" s="9" t="str">
        <f t="shared" si="14"/>
        <v>01 MASTER REQUEST - SLAVE POLL</v>
      </c>
      <c r="B318" t="s">
        <v>122</v>
      </c>
      <c r="C318" s="7" t="str">
        <f t="shared" si="15"/>
        <v>10</v>
      </c>
      <c r="D318" s="8" t="s">
        <v>109</v>
      </c>
      <c r="E318" s="7" t="str">
        <f t="shared" si="16"/>
        <v>31</v>
      </c>
    </row>
    <row r="319" spans="1:5" x14ac:dyDescent="0.25">
      <c r="A319" s="9" t="str">
        <f t="shared" si="14"/>
        <v>97 DISC INFO - TRACKS: 10, MINS: 50, SECS: 13, DISC: 6</v>
      </c>
      <c r="B319" t="s">
        <v>182</v>
      </c>
      <c r="C319" s="7" t="str">
        <f t="shared" si="15"/>
        <v>31</v>
      </c>
      <c r="D319" s="8" t="s">
        <v>109</v>
      </c>
      <c r="E319" s="7" t="str">
        <f t="shared" si="16"/>
        <v>10</v>
      </c>
    </row>
    <row r="320" spans="1:5" x14ac:dyDescent="0.25">
      <c r="A320" s="9" t="str">
        <f t="shared" si="14"/>
        <v>84 REQUEST MORE TEXT FIELDS - SEND MAGAZINE INFO</v>
      </c>
      <c r="B320" t="s">
        <v>125</v>
      </c>
      <c r="C320" s="7" t="str">
        <f t="shared" si="15"/>
        <v>10</v>
      </c>
      <c r="D320" s="8" t="s">
        <v>109</v>
      </c>
      <c r="E320" s="7" t="str">
        <f t="shared" si="16"/>
        <v>31</v>
      </c>
    </row>
    <row r="321" spans="1:5" x14ac:dyDescent="0.25">
      <c r="A321" s="9" t="str">
        <f t="shared" si="14"/>
        <v>01 MASTER REQUEST - TIME POLL</v>
      </c>
      <c r="B321" t="s">
        <v>126</v>
      </c>
      <c r="C321" s="7" t="str">
        <f t="shared" si="15"/>
        <v>10</v>
      </c>
      <c r="D321" s="8" t="s">
        <v>109</v>
      </c>
      <c r="E321" s="7" t="str">
        <f t="shared" si="16"/>
        <v>31</v>
      </c>
    </row>
    <row r="322" spans="1:5" x14ac:dyDescent="0.25">
      <c r="A322" s="9" t="str">
        <f t="shared" si="14"/>
        <v>00 STATUS - IDLE</v>
      </c>
      <c r="B322" t="s">
        <v>132</v>
      </c>
      <c r="C322" s="7" t="str">
        <f t="shared" si="15"/>
        <v>31</v>
      </c>
      <c r="D322" s="8" t="s">
        <v>109</v>
      </c>
      <c r="E322" s="7" t="str">
        <f t="shared" si="16"/>
        <v>10</v>
      </c>
    </row>
    <row r="323" spans="1:5" x14ac:dyDescent="0.25">
      <c r="A323" s="9" t="str">
        <f t="shared" ref="A323:A386" si="17">ParseUnilink(B323)</f>
        <v>84 REQUEST MORE TEXT FIELDS - SEND DISC INFO</v>
      </c>
      <c r="B323" t="s">
        <v>127</v>
      </c>
      <c r="C323" s="7" t="str">
        <f t="shared" ref="C323:C386" si="18">MID(B323,4,2)</f>
        <v>10</v>
      </c>
      <c r="D323" s="8" t="s">
        <v>109</v>
      </c>
      <c r="E323" s="7" t="str">
        <f t="shared" ref="E323:E386" si="19">MID(B323,1,2)</f>
        <v>31</v>
      </c>
    </row>
    <row r="324" spans="1:5" x14ac:dyDescent="0.25">
      <c r="A324" s="9" t="str">
        <f t="shared" si="17"/>
        <v>01 MASTER REQUEST - SLAVE POLL</v>
      </c>
      <c r="B324" t="s">
        <v>122</v>
      </c>
      <c r="C324" s="7" t="str">
        <f t="shared" si="18"/>
        <v>10</v>
      </c>
      <c r="D324" s="8" t="s">
        <v>109</v>
      </c>
      <c r="E324" s="7" t="str">
        <f t="shared" si="19"/>
        <v>31</v>
      </c>
    </row>
    <row r="325" spans="1:5" x14ac:dyDescent="0.25">
      <c r="A325" s="9" t="str">
        <f t="shared" si="17"/>
        <v>95 MAGAZINE INFO - CD1 YES, CD2 YES, CD3 NO, CD4 NO, CD5 NO, CD6 NO</v>
      </c>
      <c r="B325" t="s">
        <v>128</v>
      </c>
      <c r="C325" s="7" t="str">
        <f t="shared" si="18"/>
        <v>31</v>
      </c>
      <c r="D325" s="8" t="s">
        <v>109</v>
      </c>
      <c r="E325" s="7" t="str">
        <f t="shared" si="19"/>
        <v>10</v>
      </c>
    </row>
    <row r="326" spans="1:5" x14ac:dyDescent="0.25">
      <c r="A326" s="9" t="str">
        <f t="shared" si="17"/>
        <v>01 MASTER REQUEST - SLAVE POLL</v>
      </c>
      <c r="B326" t="s">
        <v>122</v>
      </c>
      <c r="C326" s="7" t="str">
        <f t="shared" si="18"/>
        <v>10</v>
      </c>
      <c r="D326" s="8" t="s">
        <v>109</v>
      </c>
      <c r="E326" s="7" t="str">
        <f t="shared" si="19"/>
        <v>31</v>
      </c>
    </row>
    <row r="327" spans="1:5" x14ac:dyDescent="0.25">
      <c r="A327" s="9" t="str">
        <f t="shared" si="17"/>
        <v>97 DISC INFO - TRACKS: 10, MINS: 50, SECS: 13, DISC: 1</v>
      </c>
      <c r="B327" t="s">
        <v>183</v>
      </c>
      <c r="C327" s="7" t="str">
        <f t="shared" si="18"/>
        <v>31</v>
      </c>
      <c r="D327" s="8" t="s">
        <v>109</v>
      </c>
      <c r="E327" s="7" t="str">
        <f t="shared" si="19"/>
        <v>10</v>
      </c>
    </row>
    <row r="328" spans="1:5" x14ac:dyDescent="0.25">
      <c r="A328" s="9" t="str">
        <f t="shared" si="17"/>
        <v>84 REQUEST MORE TEXT FIELDS - SEND MAGAZINE INFO</v>
      </c>
      <c r="B328" t="s">
        <v>125</v>
      </c>
      <c r="C328" s="7" t="str">
        <f t="shared" si="18"/>
        <v>10</v>
      </c>
      <c r="D328" s="8" t="s">
        <v>109</v>
      </c>
      <c r="E328" s="7" t="str">
        <f t="shared" si="19"/>
        <v>31</v>
      </c>
    </row>
    <row r="329" spans="1:5" x14ac:dyDescent="0.25">
      <c r="A329" s="9" t="str">
        <f t="shared" si="17"/>
        <v>01 MASTER REQUEST - TIME POLL</v>
      </c>
      <c r="B329" t="s">
        <v>126</v>
      </c>
      <c r="C329" s="7" t="str">
        <f t="shared" si="18"/>
        <v>10</v>
      </c>
      <c r="D329" s="8" t="s">
        <v>109</v>
      </c>
      <c r="E329" s="7" t="str">
        <f t="shared" si="19"/>
        <v>31</v>
      </c>
    </row>
    <row r="330" spans="1:5" x14ac:dyDescent="0.25">
      <c r="A330" s="9" t="str">
        <f t="shared" si="17"/>
        <v>00 STATUS - IDLE</v>
      </c>
      <c r="B330" t="s">
        <v>132</v>
      </c>
      <c r="C330" s="7" t="str">
        <f t="shared" si="18"/>
        <v>31</v>
      </c>
      <c r="D330" s="8" t="s">
        <v>109</v>
      </c>
      <c r="E330" s="7" t="str">
        <f t="shared" si="19"/>
        <v>10</v>
      </c>
    </row>
    <row r="331" spans="1:5" x14ac:dyDescent="0.25">
      <c r="A331" s="9" t="str">
        <f t="shared" si="17"/>
        <v>84 REQUEST MORE TEXT FIELDS - SEND DISC INFO</v>
      </c>
      <c r="B331" t="s">
        <v>127</v>
      </c>
      <c r="C331" s="7" t="str">
        <f t="shared" si="18"/>
        <v>10</v>
      </c>
      <c r="D331" s="8" t="s">
        <v>109</v>
      </c>
      <c r="E331" s="7" t="str">
        <f t="shared" si="19"/>
        <v>31</v>
      </c>
    </row>
    <row r="332" spans="1:5" x14ac:dyDescent="0.25">
      <c r="A332" s="9" t="str">
        <f t="shared" si="17"/>
        <v>01 MASTER REQUEST - SLAVE POLL</v>
      </c>
      <c r="B332" t="s">
        <v>122</v>
      </c>
      <c r="C332" s="7" t="str">
        <f t="shared" si="18"/>
        <v>10</v>
      </c>
      <c r="D332" s="8" t="s">
        <v>109</v>
      </c>
      <c r="E332" s="7" t="str">
        <f t="shared" si="19"/>
        <v>31</v>
      </c>
    </row>
    <row r="333" spans="1:5" x14ac:dyDescent="0.25">
      <c r="A333" s="9" t="str">
        <f t="shared" si="17"/>
        <v>95 MAGAZINE INFO - CD1 YES, CD2 YES, CD3 NO, CD4 NO, CD5 NO, CD6 NO</v>
      </c>
      <c r="B333" t="s">
        <v>128</v>
      </c>
      <c r="C333" s="7" t="str">
        <f t="shared" si="18"/>
        <v>31</v>
      </c>
      <c r="D333" s="8" t="s">
        <v>109</v>
      </c>
      <c r="E333" s="7" t="str">
        <f t="shared" si="19"/>
        <v>10</v>
      </c>
    </row>
    <row r="334" spans="1:5" x14ac:dyDescent="0.25">
      <c r="A334" s="9" t="str">
        <f t="shared" si="17"/>
        <v>01 MASTER REQUEST - SLAVE POLL</v>
      </c>
      <c r="B334" t="s">
        <v>122</v>
      </c>
      <c r="C334" s="7" t="str">
        <f t="shared" si="18"/>
        <v>10</v>
      </c>
      <c r="D334" s="8" t="s">
        <v>109</v>
      </c>
      <c r="E334" s="7" t="str">
        <f t="shared" si="19"/>
        <v>31</v>
      </c>
    </row>
    <row r="335" spans="1:5" x14ac:dyDescent="0.25">
      <c r="A335" s="9" t="str">
        <f t="shared" si="17"/>
        <v>97 DISC INFO - TRACKS: 10, MINS: 50, SECS: 13, DISC: 1</v>
      </c>
      <c r="B335" t="s">
        <v>183</v>
      </c>
      <c r="C335" s="7" t="str">
        <f t="shared" si="18"/>
        <v>31</v>
      </c>
      <c r="D335" s="8" t="s">
        <v>109</v>
      </c>
      <c r="E335" s="7" t="str">
        <f t="shared" si="19"/>
        <v>10</v>
      </c>
    </row>
    <row r="336" spans="1:5" x14ac:dyDescent="0.25">
      <c r="A336" s="9" t="str">
        <f t="shared" si="17"/>
        <v>84 REQUEST MORE TEXT FIELDS - SEND MAGAZINE INFO</v>
      </c>
      <c r="B336" t="s">
        <v>125</v>
      </c>
      <c r="C336" s="7" t="str">
        <f t="shared" si="18"/>
        <v>10</v>
      </c>
      <c r="D336" s="8" t="s">
        <v>109</v>
      </c>
      <c r="E336" s="7" t="str">
        <f t="shared" si="19"/>
        <v>31</v>
      </c>
    </row>
    <row r="337" spans="1:5" x14ac:dyDescent="0.25">
      <c r="A337" s="9" t="str">
        <f t="shared" si="17"/>
        <v>01 MASTER REQUEST - TIME POLL</v>
      </c>
      <c r="B337" t="s">
        <v>126</v>
      </c>
      <c r="C337" s="7" t="str">
        <f t="shared" si="18"/>
        <v>10</v>
      </c>
      <c r="D337" s="8" t="s">
        <v>109</v>
      </c>
      <c r="E337" s="7" t="str">
        <f t="shared" si="19"/>
        <v>31</v>
      </c>
    </row>
    <row r="338" spans="1:5" x14ac:dyDescent="0.25">
      <c r="A338" s="9" t="str">
        <f t="shared" si="17"/>
        <v>00 STATUS - IDLE</v>
      </c>
      <c r="B338" t="s">
        <v>132</v>
      </c>
      <c r="C338" s="7" t="str">
        <f t="shared" si="18"/>
        <v>31</v>
      </c>
      <c r="D338" s="8" t="s">
        <v>109</v>
      </c>
      <c r="E338" s="7" t="str">
        <f t="shared" si="19"/>
        <v>10</v>
      </c>
    </row>
    <row r="339" spans="1:5" x14ac:dyDescent="0.25">
      <c r="A339" s="9" t="str">
        <f t="shared" si="17"/>
        <v>84 REQUEST MORE TEXT FIELDS - SEND DISC INFO</v>
      </c>
      <c r="B339" t="s">
        <v>127</v>
      </c>
      <c r="C339" s="7" t="str">
        <f t="shared" si="18"/>
        <v>10</v>
      </c>
      <c r="D339" s="8" t="s">
        <v>109</v>
      </c>
      <c r="E339" s="7" t="str">
        <f t="shared" si="19"/>
        <v>31</v>
      </c>
    </row>
    <row r="340" spans="1:5" x14ac:dyDescent="0.25">
      <c r="A340" s="9" t="str">
        <f t="shared" si="17"/>
        <v>01 MASTER REQUEST - SLAVE POLL</v>
      </c>
      <c r="B340" t="s">
        <v>122</v>
      </c>
      <c r="C340" s="7" t="str">
        <f t="shared" si="18"/>
        <v>10</v>
      </c>
      <c r="D340" s="8" t="s">
        <v>109</v>
      </c>
      <c r="E340" s="7" t="str">
        <f t="shared" si="19"/>
        <v>31</v>
      </c>
    </row>
    <row r="341" spans="1:5" x14ac:dyDescent="0.25">
      <c r="A341" s="9" t="str">
        <f t="shared" si="17"/>
        <v>95 MAGAZINE INFO - CD1 YES, CD2 YES, CD3 NO, CD4 NO, CD5 NO, CD6 NO</v>
      </c>
      <c r="B341" t="s">
        <v>128</v>
      </c>
      <c r="C341" s="7" t="str">
        <f t="shared" si="18"/>
        <v>31</v>
      </c>
      <c r="D341" s="8" t="s">
        <v>109</v>
      </c>
      <c r="E341" s="7" t="str">
        <f t="shared" si="19"/>
        <v>10</v>
      </c>
    </row>
    <row r="342" spans="1:5" x14ac:dyDescent="0.25">
      <c r="A342" s="9" t="str">
        <f t="shared" si="17"/>
        <v>01 MASTER REQUEST - SLAVE POLL</v>
      </c>
      <c r="B342" t="s">
        <v>122</v>
      </c>
      <c r="C342" s="7" t="str">
        <f t="shared" si="18"/>
        <v>10</v>
      </c>
      <c r="D342" s="8" t="s">
        <v>109</v>
      </c>
      <c r="E342" s="7" t="str">
        <f t="shared" si="19"/>
        <v>31</v>
      </c>
    </row>
    <row r="343" spans="1:5" x14ac:dyDescent="0.25">
      <c r="A343" s="9" t="str">
        <f t="shared" si="17"/>
        <v>97 DISC INFO - TRACKS: 10, MINS: 50, SECS: 13, DISC: 1</v>
      </c>
      <c r="B343" t="s">
        <v>183</v>
      </c>
      <c r="C343" s="7" t="str">
        <f t="shared" si="18"/>
        <v>31</v>
      </c>
      <c r="D343" s="8" t="s">
        <v>109</v>
      </c>
      <c r="E343" s="7" t="str">
        <f t="shared" si="19"/>
        <v>10</v>
      </c>
    </row>
    <row r="344" spans="1:5" x14ac:dyDescent="0.25">
      <c r="A344" s="9" t="str">
        <f t="shared" si="17"/>
        <v>84 REQUEST MORE TEXT FIELDS - SEND MAGAZINE INFO</v>
      </c>
      <c r="B344" t="s">
        <v>125</v>
      </c>
      <c r="C344" s="7" t="str">
        <f t="shared" si="18"/>
        <v>10</v>
      </c>
      <c r="D344" s="8" t="s">
        <v>109</v>
      </c>
      <c r="E344" s="7" t="str">
        <f t="shared" si="19"/>
        <v>31</v>
      </c>
    </row>
    <row r="345" spans="1:5" x14ac:dyDescent="0.25">
      <c r="A345" s="9" t="str">
        <f t="shared" si="17"/>
        <v>01 MASTER REQUEST - TIME POLL</v>
      </c>
      <c r="B345" t="s">
        <v>126</v>
      </c>
      <c r="C345" s="7" t="str">
        <f t="shared" si="18"/>
        <v>10</v>
      </c>
      <c r="D345" s="8" t="s">
        <v>109</v>
      </c>
      <c r="E345" s="7" t="str">
        <f t="shared" si="19"/>
        <v>31</v>
      </c>
    </row>
    <row r="346" spans="1:5" x14ac:dyDescent="0.25">
      <c r="A346" s="9" t="str">
        <f t="shared" si="17"/>
        <v>00 STATUS - IDLE</v>
      </c>
      <c r="B346" t="s">
        <v>132</v>
      </c>
      <c r="C346" s="7" t="str">
        <f t="shared" si="18"/>
        <v>31</v>
      </c>
      <c r="D346" s="8" t="s">
        <v>109</v>
      </c>
      <c r="E346" s="7" t="str">
        <f t="shared" si="19"/>
        <v>10</v>
      </c>
    </row>
    <row r="347" spans="1:5" x14ac:dyDescent="0.25">
      <c r="A347" s="9" t="str">
        <f t="shared" si="17"/>
        <v>84 REQUEST MORE TEXT FIELDS - SEND DISC INFO</v>
      </c>
      <c r="B347" t="s">
        <v>127</v>
      </c>
      <c r="C347" s="7" t="str">
        <f t="shared" si="18"/>
        <v>10</v>
      </c>
      <c r="D347" s="8" t="s">
        <v>109</v>
      </c>
      <c r="E347" s="7" t="str">
        <f t="shared" si="19"/>
        <v>31</v>
      </c>
    </row>
    <row r="348" spans="1:5" x14ac:dyDescent="0.25">
      <c r="A348" s="9" t="str">
        <f t="shared" si="17"/>
        <v>01 MASTER REQUEST - SLAVE POLL</v>
      </c>
      <c r="B348" t="s">
        <v>122</v>
      </c>
      <c r="C348" s="7" t="str">
        <f t="shared" si="18"/>
        <v>10</v>
      </c>
      <c r="D348" s="8" t="s">
        <v>109</v>
      </c>
      <c r="E348" s="7" t="str">
        <f t="shared" si="19"/>
        <v>31</v>
      </c>
    </row>
    <row r="349" spans="1:5" x14ac:dyDescent="0.25">
      <c r="A349" s="9" t="str">
        <f t="shared" si="17"/>
        <v>95 MAGAZINE INFO - CD1 YES, CD2 YES, CD3 NO, CD4 NO, CD5 NO, CD6 NO</v>
      </c>
      <c r="B349" t="s">
        <v>128</v>
      </c>
      <c r="C349" s="7" t="str">
        <f t="shared" si="18"/>
        <v>31</v>
      </c>
      <c r="D349" s="8" t="s">
        <v>109</v>
      </c>
      <c r="E349" s="7" t="str">
        <f t="shared" si="19"/>
        <v>10</v>
      </c>
    </row>
    <row r="350" spans="1:5" x14ac:dyDescent="0.25">
      <c r="A350" s="9" t="str">
        <f t="shared" si="17"/>
        <v>01 MASTER REQUEST - SLAVE POLL</v>
      </c>
      <c r="B350" t="s">
        <v>122</v>
      </c>
      <c r="C350" s="7" t="str">
        <f t="shared" si="18"/>
        <v>10</v>
      </c>
      <c r="D350" s="8" t="s">
        <v>109</v>
      </c>
      <c r="E350" s="7" t="str">
        <f t="shared" si="19"/>
        <v>31</v>
      </c>
    </row>
    <row r="351" spans="1:5" x14ac:dyDescent="0.25">
      <c r="A351" s="9" t="str">
        <f t="shared" si="17"/>
        <v>97 DISC INFO - TRACKS: 10, MINS: 50, SECS: 13, DISC: 1</v>
      </c>
      <c r="B351" t="s">
        <v>183</v>
      </c>
      <c r="C351" s="7" t="str">
        <f t="shared" si="18"/>
        <v>31</v>
      </c>
      <c r="D351" s="8" t="s">
        <v>109</v>
      </c>
      <c r="E351" s="7" t="str">
        <f t="shared" si="19"/>
        <v>10</v>
      </c>
    </row>
    <row r="352" spans="1:5" x14ac:dyDescent="0.25">
      <c r="A352" s="9" t="str">
        <f t="shared" si="17"/>
        <v>01 MASTER REQUEST - SLAVE POLL</v>
      </c>
      <c r="B352" t="s">
        <v>122</v>
      </c>
      <c r="C352" s="7" t="str">
        <f t="shared" si="18"/>
        <v>10</v>
      </c>
      <c r="D352" s="8" t="s">
        <v>109</v>
      </c>
      <c r="E352" s="7" t="str">
        <f t="shared" si="19"/>
        <v>31</v>
      </c>
    </row>
    <row r="353" spans="1:5" x14ac:dyDescent="0.25">
      <c r="A353" s="9" t="str">
        <f t="shared" si="17"/>
        <v>00 STATUS - IDLE</v>
      </c>
      <c r="B353" t="s">
        <v>132</v>
      </c>
      <c r="C353" s="7" t="str">
        <f t="shared" si="18"/>
        <v>31</v>
      </c>
      <c r="D353" s="8" t="s">
        <v>109</v>
      </c>
      <c r="E353" s="7" t="str">
        <f t="shared" si="19"/>
        <v>10</v>
      </c>
    </row>
    <row r="354" spans="1:5" x14ac:dyDescent="0.25">
      <c r="A354" s="9" t="str">
        <f t="shared" si="17"/>
        <v>84 REQUEST MORE TEXT FIELDS - SEND MAGAZINE INFO</v>
      </c>
      <c r="B354" t="s">
        <v>125</v>
      </c>
      <c r="C354" s="7" t="str">
        <f t="shared" si="18"/>
        <v>10</v>
      </c>
      <c r="D354" s="8" t="s">
        <v>109</v>
      </c>
      <c r="E354" s="7" t="str">
        <f t="shared" si="19"/>
        <v>31</v>
      </c>
    </row>
    <row r="355" spans="1:5" x14ac:dyDescent="0.25">
      <c r="A355" s="9" t="str">
        <f t="shared" si="17"/>
        <v>01 MASTER REQUEST - TIME POLL</v>
      </c>
      <c r="B355" t="s">
        <v>126</v>
      </c>
      <c r="C355" s="7" t="str">
        <f t="shared" si="18"/>
        <v>10</v>
      </c>
      <c r="D355" s="8" t="s">
        <v>109</v>
      </c>
      <c r="E355" s="7" t="str">
        <f t="shared" si="19"/>
        <v>31</v>
      </c>
    </row>
    <row r="356" spans="1:5" x14ac:dyDescent="0.25">
      <c r="A356" s="9" t="str">
        <f t="shared" si="17"/>
        <v>00 STATUS - IDLE</v>
      </c>
      <c r="B356" t="s">
        <v>132</v>
      </c>
      <c r="C356" s="7" t="str">
        <f t="shared" si="18"/>
        <v>31</v>
      </c>
      <c r="D356" s="8" t="s">
        <v>109</v>
      </c>
      <c r="E356" s="7" t="str">
        <f t="shared" si="19"/>
        <v>10</v>
      </c>
    </row>
    <row r="357" spans="1:5" x14ac:dyDescent="0.25">
      <c r="A357" s="9" t="str">
        <f t="shared" si="17"/>
        <v>84 REQUEST MORE TEXT FIELDS - SEND DISC INFO</v>
      </c>
      <c r="B357" t="s">
        <v>127</v>
      </c>
      <c r="C357" s="7" t="str">
        <f t="shared" si="18"/>
        <v>10</v>
      </c>
      <c r="D357" s="8" t="s">
        <v>109</v>
      </c>
      <c r="E357" s="7" t="str">
        <f t="shared" si="19"/>
        <v>31</v>
      </c>
    </row>
    <row r="358" spans="1:5" x14ac:dyDescent="0.25">
      <c r="A358" s="9" t="str">
        <f t="shared" si="17"/>
        <v>01 MASTER REQUEST - SLAVE POLL</v>
      </c>
      <c r="B358" t="s">
        <v>122</v>
      </c>
      <c r="C358" s="7" t="str">
        <f t="shared" si="18"/>
        <v>10</v>
      </c>
      <c r="D358" s="8" t="s">
        <v>109</v>
      </c>
      <c r="E358" s="7" t="str">
        <f t="shared" si="19"/>
        <v>31</v>
      </c>
    </row>
    <row r="359" spans="1:5" x14ac:dyDescent="0.25">
      <c r="A359" s="9" t="str">
        <f t="shared" si="17"/>
        <v>95 MAGAZINE INFO - CD1 YES, CD2 YES, CD3 NO, CD4 NO, CD5 NO, CD6 NO</v>
      </c>
      <c r="B359" t="s">
        <v>128</v>
      </c>
      <c r="C359" s="7" t="str">
        <f t="shared" si="18"/>
        <v>31</v>
      </c>
      <c r="D359" s="8" t="s">
        <v>109</v>
      </c>
      <c r="E359" s="7" t="str">
        <f t="shared" si="19"/>
        <v>10</v>
      </c>
    </row>
    <row r="360" spans="1:5" x14ac:dyDescent="0.25">
      <c r="A360" s="9" t="str">
        <f t="shared" si="17"/>
        <v>01 MASTER REQUEST - SLAVE POLL</v>
      </c>
      <c r="B360" t="s">
        <v>122</v>
      </c>
      <c r="C360" s="7" t="str">
        <f t="shared" si="18"/>
        <v>10</v>
      </c>
      <c r="D360" s="8" t="s">
        <v>109</v>
      </c>
      <c r="E360" s="7" t="str">
        <f t="shared" si="19"/>
        <v>31</v>
      </c>
    </row>
    <row r="361" spans="1:5" x14ac:dyDescent="0.25">
      <c r="A361" s="9" t="str">
        <f t="shared" si="17"/>
        <v>97 DISC INFO - TRACKS: 10, MINS: 50, SECS: 13, DISC: 1</v>
      </c>
      <c r="B361" t="s">
        <v>183</v>
      </c>
      <c r="C361" s="7" t="str">
        <f t="shared" si="18"/>
        <v>31</v>
      </c>
      <c r="D361" s="8" t="s">
        <v>109</v>
      </c>
      <c r="E361" s="7" t="str">
        <f t="shared" si="19"/>
        <v>10</v>
      </c>
    </row>
    <row r="362" spans="1:5" x14ac:dyDescent="0.25">
      <c r="A362" s="9" t="str">
        <f t="shared" si="17"/>
        <v>84 REQUEST MORE TEXT FIELDS - SEND MAGAZINE INFO</v>
      </c>
      <c r="B362" t="s">
        <v>125</v>
      </c>
      <c r="C362" s="7" t="str">
        <f t="shared" si="18"/>
        <v>10</v>
      </c>
      <c r="D362" s="8" t="s">
        <v>109</v>
      </c>
      <c r="E362" s="7" t="str">
        <f t="shared" si="19"/>
        <v>31</v>
      </c>
    </row>
    <row r="363" spans="1:5" x14ac:dyDescent="0.25">
      <c r="A363" s="9" t="str">
        <f t="shared" si="17"/>
        <v>01 MASTER REQUEST - TIME POLL</v>
      </c>
      <c r="B363" t="s">
        <v>126</v>
      </c>
      <c r="C363" s="7" t="str">
        <f t="shared" si="18"/>
        <v>10</v>
      </c>
      <c r="D363" s="8" t="s">
        <v>109</v>
      </c>
      <c r="E363" s="7" t="str">
        <f t="shared" si="19"/>
        <v>31</v>
      </c>
    </row>
    <row r="364" spans="1:5" x14ac:dyDescent="0.25">
      <c r="A364" s="9" t="str">
        <f t="shared" si="17"/>
        <v>00 STATUS - IDLE</v>
      </c>
      <c r="B364" t="s">
        <v>132</v>
      </c>
      <c r="C364" s="7" t="str">
        <f t="shared" si="18"/>
        <v>31</v>
      </c>
      <c r="D364" s="8" t="s">
        <v>109</v>
      </c>
      <c r="E364" s="7" t="str">
        <f t="shared" si="19"/>
        <v>10</v>
      </c>
    </row>
    <row r="365" spans="1:5" x14ac:dyDescent="0.25">
      <c r="A365" s="9" t="str">
        <f t="shared" si="17"/>
        <v>84 REQUEST MORE TEXT FIELDS - SEND DISC INFO</v>
      </c>
      <c r="B365" t="s">
        <v>127</v>
      </c>
      <c r="C365" s="7" t="str">
        <f t="shared" si="18"/>
        <v>10</v>
      </c>
      <c r="D365" s="8" t="s">
        <v>109</v>
      </c>
      <c r="E365" s="7" t="str">
        <f t="shared" si="19"/>
        <v>31</v>
      </c>
    </row>
    <row r="366" spans="1:5" x14ac:dyDescent="0.25">
      <c r="A366" s="9" t="str">
        <f t="shared" si="17"/>
        <v>01 MASTER REQUEST - SLAVE POLL</v>
      </c>
      <c r="B366" t="s">
        <v>122</v>
      </c>
      <c r="C366" s="7" t="str">
        <f t="shared" si="18"/>
        <v>10</v>
      </c>
      <c r="D366" s="8" t="s">
        <v>109</v>
      </c>
      <c r="E366" s="7" t="str">
        <f t="shared" si="19"/>
        <v>31</v>
      </c>
    </row>
    <row r="367" spans="1:5" x14ac:dyDescent="0.25">
      <c r="A367" s="9" t="str">
        <f t="shared" si="17"/>
        <v>95 MAGAZINE INFO - CD1 YES, CD2 YES, CD3 NO, CD4 NO, CD5 NO, CD6 NO</v>
      </c>
      <c r="B367" t="s">
        <v>128</v>
      </c>
      <c r="C367" s="7" t="str">
        <f t="shared" si="18"/>
        <v>31</v>
      </c>
      <c r="D367" s="8" t="s">
        <v>109</v>
      </c>
      <c r="E367" s="7" t="str">
        <f t="shared" si="19"/>
        <v>10</v>
      </c>
    </row>
    <row r="368" spans="1:5" x14ac:dyDescent="0.25">
      <c r="A368" s="9" t="str">
        <f t="shared" si="17"/>
        <v>01 MASTER REQUEST - SLAVE POLL</v>
      </c>
      <c r="B368" t="s">
        <v>122</v>
      </c>
      <c r="C368" s="7" t="str">
        <f t="shared" si="18"/>
        <v>10</v>
      </c>
      <c r="D368" s="8" t="s">
        <v>109</v>
      </c>
      <c r="E368" s="7" t="str">
        <f t="shared" si="19"/>
        <v>31</v>
      </c>
    </row>
    <row r="369" spans="1:5" x14ac:dyDescent="0.25">
      <c r="A369" s="9" t="str">
        <f t="shared" si="17"/>
        <v>97 DISC INFO - TRACKS: 10, MINS: 50, SECS: 13, DISC: 1</v>
      </c>
      <c r="B369" t="s">
        <v>183</v>
      </c>
      <c r="C369" s="7" t="str">
        <f t="shared" si="18"/>
        <v>31</v>
      </c>
      <c r="D369" s="8" t="s">
        <v>109</v>
      </c>
      <c r="E369" s="7" t="str">
        <f t="shared" si="19"/>
        <v>10</v>
      </c>
    </row>
    <row r="370" spans="1:5" x14ac:dyDescent="0.25">
      <c r="A370" s="9" t="str">
        <f t="shared" si="17"/>
        <v>84 REQUEST MORE TEXT FIELDS - SEND MAGAZINE INFO</v>
      </c>
      <c r="B370" t="s">
        <v>125</v>
      </c>
      <c r="C370" s="7" t="str">
        <f t="shared" si="18"/>
        <v>10</v>
      </c>
      <c r="D370" s="8" t="s">
        <v>109</v>
      </c>
      <c r="E370" s="7" t="str">
        <f t="shared" si="19"/>
        <v>31</v>
      </c>
    </row>
    <row r="371" spans="1:5" x14ac:dyDescent="0.25">
      <c r="A371" s="9" t="str">
        <f t="shared" si="17"/>
        <v>01 MASTER REQUEST - TIME POLL</v>
      </c>
      <c r="B371" t="s">
        <v>126</v>
      </c>
      <c r="C371" s="7" t="str">
        <f t="shared" si="18"/>
        <v>10</v>
      </c>
      <c r="D371" s="8" t="s">
        <v>109</v>
      </c>
      <c r="E371" s="7" t="str">
        <f t="shared" si="19"/>
        <v>31</v>
      </c>
    </row>
    <row r="372" spans="1:5" x14ac:dyDescent="0.25">
      <c r="A372" s="9" t="str">
        <f t="shared" si="17"/>
        <v>00 STATUS - IDLE</v>
      </c>
      <c r="B372" t="s">
        <v>132</v>
      </c>
      <c r="C372" s="7" t="str">
        <f t="shared" si="18"/>
        <v>31</v>
      </c>
      <c r="D372" s="8" t="s">
        <v>109</v>
      </c>
      <c r="E372" s="7" t="str">
        <f t="shared" si="19"/>
        <v>10</v>
      </c>
    </row>
    <row r="373" spans="1:5" x14ac:dyDescent="0.25">
      <c r="A373" s="9" t="str">
        <f t="shared" si="17"/>
        <v>84 REQUEST MORE TEXT FIELDS - SEND DISC INFO</v>
      </c>
      <c r="B373" t="s">
        <v>127</v>
      </c>
      <c r="C373" s="7" t="str">
        <f t="shared" si="18"/>
        <v>10</v>
      </c>
      <c r="D373" s="8" t="s">
        <v>109</v>
      </c>
      <c r="E373" s="7" t="str">
        <f t="shared" si="19"/>
        <v>31</v>
      </c>
    </row>
    <row r="374" spans="1:5" x14ac:dyDescent="0.25">
      <c r="A374" s="9" t="str">
        <f t="shared" si="17"/>
        <v>01 MASTER REQUEST - SLAVE POLL</v>
      </c>
      <c r="B374" t="s">
        <v>122</v>
      </c>
      <c r="C374" s="7" t="str">
        <f t="shared" si="18"/>
        <v>10</v>
      </c>
      <c r="D374" s="8" t="s">
        <v>109</v>
      </c>
      <c r="E374" s="7" t="str">
        <f t="shared" si="19"/>
        <v>31</v>
      </c>
    </row>
    <row r="375" spans="1:5" x14ac:dyDescent="0.25">
      <c r="A375" s="9" t="str">
        <f t="shared" si="17"/>
        <v>95 MAGAZINE INFO - CD1 YES, CD2 YES, CD3 NO, CD4 NO, CD5 NO, CD6 NO</v>
      </c>
      <c r="B375" t="s">
        <v>128</v>
      </c>
      <c r="C375" s="7" t="str">
        <f t="shared" si="18"/>
        <v>31</v>
      </c>
      <c r="D375" s="8" t="s">
        <v>109</v>
      </c>
      <c r="E375" s="7" t="str">
        <f t="shared" si="19"/>
        <v>10</v>
      </c>
    </row>
    <row r="376" spans="1:5" x14ac:dyDescent="0.25">
      <c r="A376" s="9" t="str">
        <f t="shared" si="17"/>
        <v>01 MASTER REQUEST - SLAVE POLL</v>
      </c>
      <c r="B376" t="s">
        <v>122</v>
      </c>
      <c r="C376" s="7" t="str">
        <f t="shared" si="18"/>
        <v>10</v>
      </c>
      <c r="D376" s="8" t="s">
        <v>109</v>
      </c>
      <c r="E376" s="7" t="str">
        <f t="shared" si="19"/>
        <v>31</v>
      </c>
    </row>
    <row r="377" spans="1:5" x14ac:dyDescent="0.25">
      <c r="A377" s="9" t="str">
        <f t="shared" si="17"/>
        <v>97 DISC INFO - TRACKS: 10, MINS: 50, SECS: 13, DISC: 1</v>
      </c>
      <c r="B377" t="s">
        <v>183</v>
      </c>
      <c r="C377" s="7" t="str">
        <f t="shared" si="18"/>
        <v>31</v>
      </c>
      <c r="D377" s="8" t="s">
        <v>109</v>
      </c>
      <c r="E377" s="7" t="str">
        <f t="shared" si="19"/>
        <v>10</v>
      </c>
    </row>
    <row r="378" spans="1:5" x14ac:dyDescent="0.25">
      <c r="A378" s="9" t="str">
        <f t="shared" si="17"/>
        <v>01 MASTER REQUEST - SLAVE POLL</v>
      </c>
      <c r="B378" t="s">
        <v>122</v>
      </c>
      <c r="C378" s="7" t="str">
        <f t="shared" si="18"/>
        <v>10</v>
      </c>
      <c r="D378" s="8" t="s">
        <v>109</v>
      </c>
      <c r="E378" s="7" t="str">
        <f t="shared" si="19"/>
        <v>31</v>
      </c>
    </row>
    <row r="379" spans="1:5" x14ac:dyDescent="0.25">
      <c r="A379" s="9" t="str">
        <f t="shared" si="17"/>
        <v>00 STATUS - IDLE</v>
      </c>
      <c r="B379" t="s">
        <v>132</v>
      </c>
      <c r="C379" s="7" t="str">
        <f t="shared" si="18"/>
        <v>31</v>
      </c>
      <c r="D379" s="8" t="s">
        <v>109</v>
      </c>
      <c r="E379" s="7" t="str">
        <f t="shared" si="19"/>
        <v>10</v>
      </c>
    </row>
    <row r="380" spans="1:5" x14ac:dyDescent="0.25">
      <c r="A380" s="9" t="str">
        <f t="shared" si="17"/>
        <v>84 REQUEST MORE TEXT FIELDS - SEND MAGAZINE INFO</v>
      </c>
      <c r="B380" t="s">
        <v>125</v>
      </c>
      <c r="C380" s="7" t="str">
        <f t="shared" si="18"/>
        <v>10</v>
      </c>
      <c r="D380" s="8" t="s">
        <v>109</v>
      </c>
      <c r="E380" s="7" t="str">
        <f t="shared" si="19"/>
        <v>31</v>
      </c>
    </row>
    <row r="381" spans="1:5" x14ac:dyDescent="0.25">
      <c r="A381" s="9" t="str">
        <f t="shared" si="17"/>
        <v>01 MASTER REQUEST - TIME POLL</v>
      </c>
      <c r="B381" t="s">
        <v>126</v>
      </c>
      <c r="C381" s="7" t="str">
        <f t="shared" si="18"/>
        <v>10</v>
      </c>
      <c r="D381" s="8" t="s">
        <v>109</v>
      </c>
      <c r="E381" s="7" t="str">
        <f t="shared" si="19"/>
        <v>31</v>
      </c>
    </row>
    <row r="382" spans="1:5" x14ac:dyDescent="0.25">
      <c r="A382" s="9" t="str">
        <f t="shared" si="17"/>
        <v>00 STATUS - IDLE</v>
      </c>
      <c r="B382" t="s">
        <v>132</v>
      </c>
      <c r="C382" s="7" t="str">
        <f t="shared" si="18"/>
        <v>31</v>
      </c>
      <c r="D382" s="8" t="s">
        <v>109</v>
      </c>
      <c r="E382" s="7" t="str">
        <f t="shared" si="19"/>
        <v>10</v>
      </c>
    </row>
    <row r="383" spans="1:5" x14ac:dyDescent="0.25">
      <c r="A383" s="9" t="str">
        <f t="shared" si="17"/>
        <v>84 REQUEST MORE TEXT FIELDS - SEND DISC INFO</v>
      </c>
      <c r="B383" t="s">
        <v>127</v>
      </c>
      <c r="C383" s="7" t="str">
        <f t="shared" si="18"/>
        <v>10</v>
      </c>
      <c r="D383" s="8" t="s">
        <v>109</v>
      </c>
      <c r="E383" s="7" t="str">
        <f t="shared" si="19"/>
        <v>31</v>
      </c>
    </row>
    <row r="384" spans="1:5" x14ac:dyDescent="0.25">
      <c r="A384" s="9" t="str">
        <f t="shared" si="17"/>
        <v>01 MASTER REQUEST - SLAVE POLL</v>
      </c>
      <c r="B384" t="s">
        <v>122</v>
      </c>
      <c r="C384" s="7" t="str">
        <f t="shared" si="18"/>
        <v>10</v>
      </c>
      <c r="D384" s="8" t="s">
        <v>109</v>
      </c>
      <c r="E384" s="7" t="str">
        <f t="shared" si="19"/>
        <v>31</v>
      </c>
    </row>
    <row r="385" spans="1:5" x14ac:dyDescent="0.25">
      <c r="A385" s="9" t="str">
        <f t="shared" si="17"/>
        <v>95 MAGAZINE INFO - CD1 YES, CD2 YES, CD3 NO, CD4 NO, CD5 NO, CD6 NO</v>
      </c>
      <c r="B385" t="s">
        <v>128</v>
      </c>
      <c r="C385" s="7" t="str">
        <f t="shared" si="18"/>
        <v>31</v>
      </c>
      <c r="D385" s="8" t="s">
        <v>109</v>
      </c>
      <c r="E385" s="7" t="str">
        <f t="shared" si="19"/>
        <v>10</v>
      </c>
    </row>
    <row r="386" spans="1:5" x14ac:dyDescent="0.25">
      <c r="A386" s="9" t="str">
        <f t="shared" si="17"/>
        <v>01 MASTER REQUEST - SLAVE POLL</v>
      </c>
      <c r="B386" t="s">
        <v>122</v>
      </c>
      <c r="C386" s="7" t="str">
        <f t="shared" si="18"/>
        <v>10</v>
      </c>
      <c r="D386" s="8" t="s">
        <v>109</v>
      </c>
      <c r="E386" s="7" t="str">
        <f t="shared" si="19"/>
        <v>31</v>
      </c>
    </row>
    <row r="387" spans="1:5" x14ac:dyDescent="0.25">
      <c r="A387" s="9" t="str">
        <f t="shared" ref="A387:A450" si="20">ParseUnilink(B387)</f>
        <v>97 DISC INFO - TRACKS: 10, MINS: 50, SECS: 13, DISC: 1</v>
      </c>
      <c r="B387" t="s">
        <v>183</v>
      </c>
      <c r="C387" s="7" t="str">
        <f t="shared" ref="C387:C450" si="21">MID(B387,4,2)</f>
        <v>31</v>
      </c>
      <c r="D387" s="8" t="s">
        <v>109</v>
      </c>
      <c r="E387" s="7" t="str">
        <f t="shared" ref="E387:E450" si="22">MID(B387,1,2)</f>
        <v>10</v>
      </c>
    </row>
    <row r="388" spans="1:5" x14ac:dyDescent="0.25">
      <c r="A388" s="9" t="str">
        <f t="shared" si="20"/>
        <v>84 REQUEST MORE TEXT FIELDS - SEND MAGAZINE INFO</v>
      </c>
      <c r="B388" t="s">
        <v>125</v>
      </c>
      <c r="C388" s="7" t="str">
        <f t="shared" si="21"/>
        <v>10</v>
      </c>
      <c r="D388" s="8" t="s">
        <v>109</v>
      </c>
      <c r="E388" s="7" t="str">
        <f t="shared" si="22"/>
        <v>31</v>
      </c>
    </row>
    <row r="389" spans="1:5" x14ac:dyDescent="0.25">
      <c r="A389" s="9" t="str">
        <f t="shared" si="20"/>
        <v>01 MASTER REQUEST - TIME POLL</v>
      </c>
      <c r="B389" t="s">
        <v>126</v>
      </c>
      <c r="C389" s="7" t="str">
        <f t="shared" si="21"/>
        <v>10</v>
      </c>
      <c r="D389" s="8" t="s">
        <v>109</v>
      </c>
      <c r="E389" s="7" t="str">
        <f t="shared" si="22"/>
        <v>31</v>
      </c>
    </row>
    <row r="390" spans="1:5" x14ac:dyDescent="0.25">
      <c r="A390" s="9" t="str">
        <f t="shared" si="20"/>
        <v>00 STATUS - IDLE</v>
      </c>
      <c r="B390" t="s">
        <v>132</v>
      </c>
      <c r="C390" s="7" t="str">
        <f t="shared" si="21"/>
        <v>31</v>
      </c>
      <c r="D390" s="8" t="s">
        <v>109</v>
      </c>
      <c r="E390" s="7" t="str">
        <f t="shared" si="22"/>
        <v>10</v>
      </c>
    </row>
    <row r="391" spans="1:5" x14ac:dyDescent="0.25">
      <c r="A391" s="9" t="str">
        <f t="shared" si="20"/>
        <v>84 REQUEST MORE TEXT FIELDS - SEND DISC INFO</v>
      </c>
      <c r="B391" t="s">
        <v>127</v>
      </c>
      <c r="C391" s="7" t="str">
        <f t="shared" si="21"/>
        <v>10</v>
      </c>
      <c r="D391" s="8" t="s">
        <v>109</v>
      </c>
      <c r="E391" s="7" t="str">
        <f t="shared" si="22"/>
        <v>31</v>
      </c>
    </row>
    <row r="392" spans="1:5" x14ac:dyDescent="0.25">
      <c r="A392" s="9" t="str">
        <f t="shared" si="20"/>
        <v>01 MASTER REQUEST - SLAVE POLL</v>
      </c>
      <c r="B392" t="s">
        <v>122</v>
      </c>
      <c r="C392" s="7" t="str">
        <f t="shared" si="21"/>
        <v>10</v>
      </c>
      <c r="D392" s="8" t="s">
        <v>109</v>
      </c>
      <c r="E392" s="7" t="str">
        <f t="shared" si="22"/>
        <v>31</v>
      </c>
    </row>
    <row r="393" spans="1:5" x14ac:dyDescent="0.25">
      <c r="A393" s="9" t="str">
        <f t="shared" si="20"/>
        <v>95 MAGAZINE INFO - CD1 YES, CD2 YES, CD3 NO, CD4 NO, CD5 NO, CD6 NO</v>
      </c>
      <c r="B393" t="s">
        <v>128</v>
      </c>
      <c r="C393" s="7" t="str">
        <f t="shared" si="21"/>
        <v>31</v>
      </c>
      <c r="D393" s="8" t="s">
        <v>109</v>
      </c>
      <c r="E393" s="7" t="str">
        <f t="shared" si="22"/>
        <v>10</v>
      </c>
    </row>
    <row r="394" spans="1:5" x14ac:dyDescent="0.25">
      <c r="A394" s="9" t="str">
        <f t="shared" si="20"/>
        <v>01 MASTER REQUEST - SLAVE POLL</v>
      </c>
      <c r="B394" t="s">
        <v>122</v>
      </c>
      <c r="C394" s="7" t="str">
        <f t="shared" si="21"/>
        <v>10</v>
      </c>
      <c r="D394" s="8" t="s">
        <v>109</v>
      </c>
      <c r="E394" s="7" t="str">
        <f t="shared" si="22"/>
        <v>31</v>
      </c>
    </row>
    <row r="395" spans="1:5" x14ac:dyDescent="0.25">
      <c r="A395" s="9" t="str">
        <f t="shared" si="20"/>
        <v>97 DISC INFO - TRACKS: 10, MINS: 50, SECS: 13, DISC: 1</v>
      </c>
      <c r="B395" t="s">
        <v>183</v>
      </c>
      <c r="C395" s="7" t="str">
        <f t="shared" si="21"/>
        <v>31</v>
      </c>
      <c r="D395" s="8" t="s">
        <v>109</v>
      </c>
      <c r="E395" s="7" t="str">
        <f t="shared" si="22"/>
        <v>10</v>
      </c>
    </row>
    <row r="396" spans="1:5" x14ac:dyDescent="0.25">
      <c r="A396" s="9" t="str">
        <f t="shared" si="20"/>
        <v>84 REQUEST MORE TEXT FIELDS - SEND MAGAZINE INFO</v>
      </c>
      <c r="B396" t="s">
        <v>125</v>
      </c>
      <c r="C396" s="7" t="str">
        <f t="shared" si="21"/>
        <v>10</v>
      </c>
      <c r="D396" s="8" t="s">
        <v>109</v>
      </c>
      <c r="E396" s="7" t="str">
        <f t="shared" si="22"/>
        <v>31</v>
      </c>
    </row>
    <row r="397" spans="1:5" x14ac:dyDescent="0.25">
      <c r="A397" s="9" t="str">
        <f t="shared" si="20"/>
        <v>01 MASTER REQUEST - TIME POLL</v>
      </c>
      <c r="B397" t="s">
        <v>126</v>
      </c>
      <c r="C397" s="7" t="str">
        <f t="shared" si="21"/>
        <v>10</v>
      </c>
      <c r="D397" s="8" t="s">
        <v>109</v>
      </c>
      <c r="E397" s="7" t="str">
        <f t="shared" si="22"/>
        <v>31</v>
      </c>
    </row>
    <row r="398" spans="1:5" x14ac:dyDescent="0.25">
      <c r="A398" s="9" t="str">
        <f t="shared" si="20"/>
        <v>00 STATUS - IDLE</v>
      </c>
      <c r="B398" t="s">
        <v>132</v>
      </c>
      <c r="C398" s="7" t="str">
        <f t="shared" si="21"/>
        <v>31</v>
      </c>
      <c r="D398" s="8" t="s">
        <v>109</v>
      </c>
      <c r="E398" s="7" t="str">
        <f t="shared" si="22"/>
        <v>10</v>
      </c>
    </row>
    <row r="399" spans="1:5" x14ac:dyDescent="0.25">
      <c r="A399" s="9" t="str">
        <f t="shared" si="20"/>
        <v>84 REQUEST MORE TEXT FIELDS - SEND DISC INFO</v>
      </c>
      <c r="B399" t="s">
        <v>133</v>
      </c>
      <c r="C399" s="7" t="str">
        <f t="shared" si="21"/>
        <v>10</v>
      </c>
      <c r="D399" s="8" t="s">
        <v>109</v>
      </c>
      <c r="E399" s="7" t="str">
        <f t="shared" si="22"/>
        <v>31</v>
      </c>
    </row>
    <row r="400" spans="1:5" x14ac:dyDescent="0.25">
      <c r="A400" s="9" t="str">
        <f t="shared" si="20"/>
        <v>01 MASTER REQUEST - SLAVE POLL</v>
      </c>
      <c r="B400" t="s">
        <v>122</v>
      </c>
      <c r="C400" s="7" t="str">
        <f t="shared" si="21"/>
        <v>10</v>
      </c>
      <c r="D400" s="8" t="s">
        <v>109</v>
      </c>
      <c r="E400" s="7" t="str">
        <f t="shared" si="22"/>
        <v>31</v>
      </c>
    </row>
    <row r="401" spans="1:5" x14ac:dyDescent="0.25">
      <c r="A401" s="9" t="str">
        <f t="shared" si="20"/>
        <v>95 MAGAZINE INFO - CD1 YES, CD2 YES, CD3 NO, CD4 NO, CD5 NO, CD6 NO</v>
      </c>
      <c r="B401" t="s">
        <v>128</v>
      </c>
      <c r="C401" s="7" t="str">
        <f t="shared" si="21"/>
        <v>31</v>
      </c>
      <c r="D401" s="8" t="s">
        <v>109</v>
      </c>
      <c r="E401" s="7" t="str">
        <f t="shared" si="22"/>
        <v>10</v>
      </c>
    </row>
    <row r="402" spans="1:5" x14ac:dyDescent="0.25">
      <c r="A402" s="9" t="str">
        <f t="shared" si="20"/>
        <v>01 MASTER REQUEST - SLAVE POLL</v>
      </c>
      <c r="B402" t="s">
        <v>122</v>
      </c>
      <c r="C402" s="7" t="str">
        <f t="shared" si="21"/>
        <v>10</v>
      </c>
      <c r="D402" s="8" t="s">
        <v>109</v>
      </c>
      <c r="E402" s="7" t="str">
        <f t="shared" si="22"/>
        <v>31</v>
      </c>
    </row>
    <row r="403" spans="1:5" x14ac:dyDescent="0.25">
      <c r="A403" s="9" t="str">
        <f t="shared" si="20"/>
        <v>97 DISC INFO - TRACKS: 10, MINS: 50, SECS: 13, DISC: 1</v>
      </c>
      <c r="B403" t="s">
        <v>183</v>
      </c>
      <c r="C403" s="7" t="str">
        <f t="shared" si="21"/>
        <v>31</v>
      </c>
      <c r="D403" s="8" t="s">
        <v>109</v>
      </c>
      <c r="E403" s="7" t="str">
        <f t="shared" si="22"/>
        <v>10</v>
      </c>
    </row>
    <row r="404" spans="1:5" x14ac:dyDescent="0.25">
      <c r="A404" s="9" t="str">
        <f t="shared" si="20"/>
        <v>84 REQUEST MORE TEXT FIELDS - SEND MAGAZINE INFO</v>
      </c>
      <c r="B404" t="s">
        <v>125</v>
      </c>
      <c r="C404" s="7" t="str">
        <f t="shared" si="21"/>
        <v>10</v>
      </c>
      <c r="D404" s="8" t="s">
        <v>109</v>
      </c>
      <c r="E404" s="7" t="str">
        <f t="shared" si="22"/>
        <v>31</v>
      </c>
    </row>
    <row r="405" spans="1:5" x14ac:dyDescent="0.25">
      <c r="A405" s="9" t="str">
        <f t="shared" si="20"/>
        <v>01 MASTER REQUEST - TIME POLL</v>
      </c>
      <c r="B405" t="s">
        <v>126</v>
      </c>
      <c r="C405" s="7" t="str">
        <f t="shared" si="21"/>
        <v>10</v>
      </c>
      <c r="D405" s="8" t="s">
        <v>109</v>
      </c>
      <c r="E405" s="7" t="str">
        <f t="shared" si="22"/>
        <v>31</v>
      </c>
    </row>
    <row r="406" spans="1:5" x14ac:dyDescent="0.25">
      <c r="A406" s="9" t="str">
        <f t="shared" si="20"/>
        <v>00 STATUS - IDLE</v>
      </c>
      <c r="B406" t="s">
        <v>132</v>
      </c>
      <c r="C406" s="7" t="str">
        <f t="shared" si="21"/>
        <v>31</v>
      </c>
      <c r="D406" s="8" t="s">
        <v>109</v>
      </c>
      <c r="E406" s="7" t="str">
        <f t="shared" si="22"/>
        <v>10</v>
      </c>
    </row>
    <row r="407" spans="1:5" x14ac:dyDescent="0.25">
      <c r="A407" s="9" t="str">
        <f t="shared" si="20"/>
        <v>84 REQUEST MORE TEXT FIELDS - SEND DISC INFO</v>
      </c>
      <c r="B407" t="s">
        <v>127</v>
      </c>
      <c r="C407" s="7" t="str">
        <f t="shared" si="21"/>
        <v>10</v>
      </c>
      <c r="D407" s="8" t="s">
        <v>109</v>
      </c>
      <c r="E407" s="7" t="str">
        <f t="shared" si="22"/>
        <v>31</v>
      </c>
    </row>
    <row r="408" spans="1:5" x14ac:dyDescent="0.25">
      <c r="A408" s="9" t="str">
        <f t="shared" si="20"/>
        <v>01 MASTER REQUEST - SLAVE POLL</v>
      </c>
      <c r="B408" t="s">
        <v>122</v>
      </c>
      <c r="C408" s="7" t="str">
        <f t="shared" si="21"/>
        <v>10</v>
      </c>
      <c r="D408" s="8" t="s">
        <v>109</v>
      </c>
      <c r="E408" s="7" t="str">
        <f t="shared" si="22"/>
        <v>31</v>
      </c>
    </row>
    <row r="409" spans="1:5" x14ac:dyDescent="0.25">
      <c r="A409" s="9" t="str">
        <f t="shared" si="20"/>
        <v>95 MAGAZINE INFO - CD1 YES, CD2 YES, CD3 NO, CD4 NO, CD5 NO, CD6 NO</v>
      </c>
      <c r="B409" t="s">
        <v>128</v>
      </c>
      <c r="C409" s="7" t="str">
        <f t="shared" si="21"/>
        <v>31</v>
      </c>
      <c r="D409" s="8" t="s">
        <v>109</v>
      </c>
      <c r="E409" s="7" t="str">
        <f t="shared" si="22"/>
        <v>10</v>
      </c>
    </row>
    <row r="410" spans="1:5" x14ac:dyDescent="0.25">
      <c r="A410" s="9" t="str">
        <f t="shared" si="20"/>
        <v>01 MASTER REQUEST - SLAVE POLL</v>
      </c>
      <c r="B410" t="s">
        <v>122</v>
      </c>
      <c r="C410" s="7" t="str">
        <f t="shared" si="21"/>
        <v>10</v>
      </c>
      <c r="D410" s="8" t="s">
        <v>109</v>
      </c>
      <c r="E410" s="7" t="str">
        <f t="shared" si="22"/>
        <v>31</v>
      </c>
    </row>
    <row r="411" spans="1:5" x14ac:dyDescent="0.25">
      <c r="A411" s="9" t="str">
        <f t="shared" si="20"/>
        <v>97 DISC INFO - TRACKS: 10, MINS: 50, SECS: 13, DISC: 1</v>
      </c>
      <c r="B411" t="s">
        <v>183</v>
      </c>
      <c r="C411" s="7" t="str">
        <f t="shared" si="21"/>
        <v>31</v>
      </c>
      <c r="D411" s="8" t="s">
        <v>109</v>
      </c>
      <c r="E411" s="7" t="str">
        <f t="shared" si="22"/>
        <v>10</v>
      </c>
    </row>
    <row r="412" spans="1:5" x14ac:dyDescent="0.25">
      <c r="A412" s="9" t="str">
        <f t="shared" si="20"/>
        <v>84 REQUEST MORE TEXT FIELDS - SEND MAGAZINE INFO</v>
      </c>
      <c r="B412" t="s">
        <v>125</v>
      </c>
      <c r="C412" s="7" t="str">
        <f t="shared" si="21"/>
        <v>10</v>
      </c>
      <c r="D412" s="8" t="s">
        <v>109</v>
      </c>
      <c r="E412" s="7" t="str">
        <f t="shared" si="22"/>
        <v>31</v>
      </c>
    </row>
    <row r="413" spans="1:5" x14ac:dyDescent="0.25">
      <c r="A413" s="9" t="str">
        <f t="shared" si="20"/>
        <v>01 MASTER REQUEST - TIME POLL</v>
      </c>
      <c r="B413" t="s">
        <v>126</v>
      </c>
      <c r="C413" s="7" t="str">
        <f t="shared" si="21"/>
        <v>10</v>
      </c>
      <c r="D413" s="8" t="s">
        <v>109</v>
      </c>
      <c r="E413" s="7" t="str">
        <f t="shared" si="22"/>
        <v>31</v>
      </c>
    </row>
    <row r="414" spans="1:5" x14ac:dyDescent="0.25">
      <c r="A414" s="9" t="str">
        <f t="shared" si="20"/>
        <v>00 STATUS - IDLE</v>
      </c>
      <c r="B414" t="s">
        <v>132</v>
      </c>
      <c r="C414" s="7" t="str">
        <f t="shared" si="21"/>
        <v>31</v>
      </c>
      <c r="D414" s="8" t="s">
        <v>109</v>
      </c>
      <c r="E414" s="7" t="str">
        <f t="shared" si="22"/>
        <v>10</v>
      </c>
    </row>
    <row r="415" spans="1:5" x14ac:dyDescent="0.25">
      <c r="A415" s="9" t="str">
        <f t="shared" si="20"/>
        <v>84 REQUEST MORE TEXT FIELDS - SEND DISC INFO</v>
      </c>
      <c r="B415" t="s">
        <v>127</v>
      </c>
      <c r="C415" s="7" t="str">
        <f t="shared" si="21"/>
        <v>10</v>
      </c>
      <c r="D415" s="8" t="s">
        <v>109</v>
      </c>
      <c r="E415" s="7" t="str">
        <f t="shared" si="22"/>
        <v>31</v>
      </c>
    </row>
    <row r="416" spans="1:5" x14ac:dyDescent="0.25">
      <c r="A416" s="9" t="str">
        <f t="shared" si="20"/>
        <v>01 MASTER REQUEST - SLAVE POLL</v>
      </c>
      <c r="B416" t="s">
        <v>122</v>
      </c>
      <c r="C416" s="7" t="str">
        <f t="shared" si="21"/>
        <v>10</v>
      </c>
      <c r="D416" s="8" t="s">
        <v>109</v>
      </c>
      <c r="E416" s="7" t="str">
        <f t="shared" si="22"/>
        <v>31</v>
      </c>
    </row>
    <row r="417" spans="1:5" x14ac:dyDescent="0.25">
      <c r="A417" s="9" t="str">
        <f t="shared" si="20"/>
        <v>95 MAGAZINE INFO - CD1 YES, CD2 YES, CD3 NO, CD4 NO, CD5 NO, CD6 NO</v>
      </c>
      <c r="B417" t="s">
        <v>128</v>
      </c>
      <c r="C417" s="7" t="str">
        <f t="shared" si="21"/>
        <v>31</v>
      </c>
      <c r="D417" s="8" t="s">
        <v>109</v>
      </c>
      <c r="E417" s="7" t="str">
        <f t="shared" si="22"/>
        <v>10</v>
      </c>
    </row>
    <row r="418" spans="1:5" x14ac:dyDescent="0.25">
      <c r="A418" s="9" t="str">
        <f t="shared" si="20"/>
        <v>01 MASTER REQUEST - SLAVE POLL</v>
      </c>
      <c r="B418" t="s">
        <v>122</v>
      </c>
      <c r="C418" s="7" t="str">
        <f t="shared" si="21"/>
        <v>10</v>
      </c>
      <c r="D418" s="8" t="s">
        <v>109</v>
      </c>
      <c r="E418" s="7" t="str">
        <f t="shared" si="22"/>
        <v>31</v>
      </c>
    </row>
    <row r="419" spans="1:5" x14ac:dyDescent="0.25">
      <c r="A419" s="9" t="str">
        <f t="shared" si="20"/>
        <v>97 DISC INFO - TRACKS: 10, MINS: 50, SECS: 13, DISC: 1</v>
      </c>
      <c r="B419" t="s">
        <v>183</v>
      </c>
      <c r="C419" s="7" t="str">
        <f t="shared" si="21"/>
        <v>31</v>
      </c>
      <c r="D419" s="8" t="s">
        <v>109</v>
      </c>
      <c r="E419" s="7" t="str">
        <f t="shared" si="22"/>
        <v>10</v>
      </c>
    </row>
    <row r="420" spans="1:5" x14ac:dyDescent="0.25">
      <c r="A420" s="9" t="str">
        <f t="shared" si="20"/>
        <v>84 REQUEST MORE TEXT FIELDS - SEND MAGAZINE INFO</v>
      </c>
      <c r="B420" t="s">
        <v>125</v>
      </c>
      <c r="C420" s="7" t="str">
        <f t="shared" si="21"/>
        <v>10</v>
      </c>
      <c r="D420" s="8" t="s">
        <v>109</v>
      </c>
      <c r="E420" s="7" t="str">
        <f t="shared" si="22"/>
        <v>31</v>
      </c>
    </row>
    <row r="421" spans="1:5" x14ac:dyDescent="0.25">
      <c r="A421" s="9" t="str">
        <f t="shared" si="20"/>
        <v>01 MASTER REQUEST - TIME POLL</v>
      </c>
      <c r="B421" t="s">
        <v>126</v>
      </c>
      <c r="C421" s="7" t="str">
        <f t="shared" si="21"/>
        <v>10</v>
      </c>
      <c r="D421" s="8" t="s">
        <v>109</v>
      </c>
      <c r="E421" s="7" t="str">
        <f t="shared" si="22"/>
        <v>31</v>
      </c>
    </row>
    <row r="422" spans="1:5" x14ac:dyDescent="0.25">
      <c r="A422" s="9" t="str">
        <f t="shared" si="20"/>
        <v>00 STATUS - IDLE</v>
      </c>
      <c r="B422" t="s">
        <v>132</v>
      </c>
      <c r="C422" s="7" t="str">
        <f t="shared" si="21"/>
        <v>31</v>
      </c>
      <c r="D422" s="8" t="s">
        <v>109</v>
      </c>
      <c r="E422" s="7" t="str">
        <f t="shared" si="22"/>
        <v>10</v>
      </c>
    </row>
    <row r="423" spans="1:5" x14ac:dyDescent="0.25">
      <c r="A423" s="9" t="str">
        <f t="shared" si="20"/>
        <v>84 REQUEST MORE TEXT FIELDS - SEND DISC INFO</v>
      </c>
      <c r="B423" t="s">
        <v>127</v>
      </c>
      <c r="C423" s="7" t="str">
        <f t="shared" si="21"/>
        <v>10</v>
      </c>
      <c r="D423" s="8" t="s">
        <v>109</v>
      </c>
      <c r="E423" s="7" t="str">
        <f t="shared" si="22"/>
        <v>31</v>
      </c>
    </row>
    <row r="424" spans="1:5" x14ac:dyDescent="0.25">
      <c r="A424" s="9" t="str">
        <f t="shared" si="20"/>
        <v>01 MASTER REQUEST - SLAVE POLL</v>
      </c>
      <c r="B424" t="s">
        <v>122</v>
      </c>
      <c r="C424" s="7" t="str">
        <f t="shared" si="21"/>
        <v>10</v>
      </c>
      <c r="D424" s="8" t="s">
        <v>109</v>
      </c>
      <c r="E424" s="7" t="str">
        <f t="shared" si="22"/>
        <v>31</v>
      </c>
    </row>
    <row r="425" spans="1:5" x14ac:dyDescent="0.25">
      <c r="A425" s="9" t="str">
        <f t="shared" si="20"/>
        <v>95 MAGAZINE INFO - CD1 YES, CD2 YES, CD3 NO, CD4 NO, CD5 NO, CD6 NO</v>
      </c>
      <c r="B425" t="s">
        <v>128</v>
      </c>
      <c r="C425" s="7" t="str">
        <f t="shared" si="21"/>
        <v>31</v>
      </c>
      <c r="D425" s="8" t="s">
        <v>109</v>
      </c>
      <c r="E425" s="7" t="str">
        <f t="shared" si="22"/>
        <v>10</v>
      </c>
    </row>
    <row r="426" spans="1:5" x14ac:dyDescent="0.25">
      <c r="A426" s="9" t="str">
        <f t="shared" si="20"/>
        <v>01 MASTER REQUEST - SLAVE POLL</v>
      </c>
      <c r="B426" t="s">
        <v>122</v>
      </c>
      <c r="C426" s="7" t="str">
        <f t="shared" si="21"/>
        <v>10</v>
      </c>
      <c r="D426" s="8" t="s">
        <v>109</v>
      </c>
      <c r="E426" s="7" t="str">
        <f t="shared" si="22"/>
        <v>31</v>
      </c>
    </row>
    <row r="427" spans="1:5" x14ac:dyDescent="0.25">
      <c r="A427" s="9" t="str">
        <f t="shared" si="20"/>
        <v>97 DISC INFO - TRACKS: 10, MINS: 50, SECS: 13, DISC: 1</v>
      </c>
      <c r="B427" t="s">
        <v>183</v>
      </c>
      <c r="C427" s="7" t="str">
        <f t="shared" si="21"/>
        <v>31</v>
      </c>
      <c r="D427" s="8" t="s">
        <v>109</v>
      </c>
      <c r="E427" s="7" t="str">
        <f t="shared" si="22"/>
        <v>10</v>
      </c>
    </row>
    <row r="428" spans="1:5" x14ac:dyDescent="0.25">
      <c r="A428" s="9" t="str">
        <f t="shared" si="20"/>
        <v>01 MASTER REQUEST - SLAVE POLL</v>
      </c>
      <c r="B428" t="s">
        <v>122</v>
      </c>
      <c r="C428" s="7" t="str">
        <f t="shared" si="21"/>
        <v>10</v>
      </c>
      <c r="D428" s="8" t="s">
        <v>109</v>
      </c>
      <c r="E428" s="7" t="str">
        <f t="shared" si="22"/>
        <v>31</v>
      </c>
    </row>
    <row r="429" spans="1:5" x14ac:dyDescent="0.25">
      <c r="A429" s="9" t="str">
        <f t="shared" si="20"/>
        <v>00 STATUS - IDLE</v>
      </c>
      <c r="B429" t="s">
        <v>132</v>
      </c>
      <c r="C429" s="7" t="str">
        <f t="shared" si="21"/>
        <v>31</v>
      </c>
      <c r="D429" s="8" t="s">
        <v>109</v>
      </c>
      <c r="E429" s="7" t="str">
        <f t="shared" si="22"/>
        <v>10</v>
      </c>
    </row>
    <row r="430" spans="1:5" x14ac:dyDescent="0.25">
      <c r="A430" s="9" t="str">
        <f t="shared" si="20"/>
        <v>84 REQUEST MORE TEXT FIELDS - SEND MAGAZINE INFO</v>
      </c>
      <c r="B430" t="s">
        <v>125</v>
      </c>
      <c r="C430" s="7" t="str">
        <f t="shared" si="21"/>
        <v>10</v>
      </c>
      <c r="D430" s="8" t="s">
        <v>109</v>
      </c>
      <c r="E430" s="7" t="str">
        <f t="shared" si="22"/>
        <v>31</v>
      </c>
    </row>
    <row r="431" spans="1:5" x14ac:dyDescent="0.25">
      <c r="A431" s="9" t="str">
        <f t="shared" si="20"/>
        <v>01 MASTER REQUEST - TIME POLL</v>
      </c>
      <c r="B431" t="s">
        <v>126</v>
      </c>
      <c r="C431" s="7" t="str">
        <f t="shared" si="21"/>
        <v>10</v>
      </c>
      <c r="D431" s="8" t="s">
        <v>109</v>
      </c>
      <c r="E431" s="7" t="str">
        <f t="shared" si="22"/>
        <v>31</v>
      </c>
    </row>
    <row r="432" spans="1:5" x14ac:dyDescent="0.25">
      <c r="A432" s="9" t="str">
        <f t="shared" si="20"/>
        <v>00 STATUS - IDLE</v>
      </c>
      <c r="B432" t="s">
        <v>132</v>
      </c>
      <c r="C432" s="7" t="str">
        <f t="shared" si="21"/>
        <v>31</v>
      </c>
      <c r="D432" s="8" t="s">
        <v>109</v>
      </c>
      <c r="E432" s="7" t="str">
        <f t="shared" si="22"/>
        <v>10</v>
      </c>
    </row>
    <row r="433" spans="1:5" x14ac:dyDescent="0.25">
      <c r="A433" s="9" t="str">
        <f t="shared" si="20"/>
        <v>84 REQUEST MORE TEXT FIELDS - SEND DISC INFO</v>
      </c>
      <c r="B433" t="s">
        <v>127</v>
      </c>
      <c r="C433" s="7" t="str">
        <f t="shared" si="21"/>
        <v>10</v>
      </c>
      <c r="D433" s="8" t="s">
        <v>109</v>
      </c>
      <c r="E433" s="7" t="str">
        <f t="shared" si="22"/>
        <v>31</v>
      </c>
    </row>
    <row r="434" spans="1:5" x14ac:dyDescent="0.25">
      <c r="A434" s="9" t="str">
        <f t="shared" si="20"/>
        <v>01 MASTER REQUEST - SLAVE POLL</v>
      </c>
      <c r="B434" t="s">
        <v>122</v>
      </c>
      <c r="C434" s="7" t="str">
        <f t="shared" si="21"/>
        <v>10</v>
      </c>
      <c r="D434" s="8" t="s">
        <v>109</v>
      </c>
      <c r="E434" s="7" t="str">
        <f t="shared" si="22"/>
        <v>31</v>
      </c>
    </row>
    <row r="435" spans="1:5" x14ac:dyDescent="0.25">
      <c r="A435" s="9" t="str">
        <f t="shared" si="20"/>
        <v>95 MAGAZINE INFO - CD1 YES, CD2 YES, CD3 NO, CD4 NO, CD5 NO, CD6 NO</v>
      </c>
      <c r="B435" t="s">
        <v>128</v>
      </c>
      <c r="C435" s="7" t="str">
        <f t="shared" si="21"/>
        <v>31</v>
      </c>
      <c r="D435" s="8" t="s">
        <v>109</v>
      </c>
      <c r="E435" s="7" t="str">
        <f t="shared" si="22"/>
        <v>10</v>
      </c>
    </row>
    <row r="436" spans="1:5" x14ac:dyDescent="0.25">
      <c r="A436" s="9" t="str">
        <f t="shared" si="20"/>
        <v>01 MASTER REQUEST - SLAVE POLL</v>
      </c>
      <c r="B436" t="s">
        <v>122</v>
      </c>
      <c r="C436" s="7" t="str">
        <f t="shared" si="21"/>
        <v>10</v>
      </c>
      <c r="D436" s="8" t="s">
        <v>109</v>
      </c>
      <c r="E436" s="7" t="str">
        <f t="shared" si="22"/>
        <v>31</v>
      </c>
    </row>
    <row r="437" spans="1:5" x14ac:dyDescent="0.25">
      <c r="A437" s="9" t="str">
        <f t="shared" si="20"/>
        <v>97 DISC INFO - TRACKS: 10, MINS: 50, SECS: 13, DISC: 1</v>
      </c>
      <c r="B437" t="s">
        <v>183</v>
      </c>
      <c r="C437" s="7" t="str">
        <f t="shared" si="21"/>
        <v>31</v>
      </c>
      <c r="D437" s="8" t="s">
        <v>109</v>
      </c>
      <c r="E437" s="7" t="str">
        <f t="shared" si="22"/>
        <v>10</v>
      </c>
    </row>
    <row r="438" spans="1:5" x14ac:dyDescent="0.25">
      <c r="A438" s="9" t="str">
        <f t="shared" si="20"/>
        <v>84 REQUEST MORE TEXT FIELDS - SEND MAGAZINE INFO</v>
      </c>
      <c r="B438" t="s">
        <v>125</v>
      </c>
      <c r="C438" s="7" t="str">
        <f t="shared" si="21"/>
        <v>10</v>
      </c>
      <c r="D438" s="8" t="s">
        <v>109</v>
      </c>
      <c r="E438" s="7" t="str">
        <f t="shared" si="22"/>
        <v>31</v>
      </c>
    </row>
    <row r="439" spans="1:5" x14ac:dyDescent="0.25">
      <c r="A439" s="9" t="str">
        <f t="shared" si="20"/>
        <v>01 MASTER REQUEST - TIME POLL</v>
      </c>
      <c r="B439" t="s">
        <v>126</v>
      </c>
      <c r="C439" s="7" t="str">
        <f t="shared" si="21"/>
        <v>10</v>
      </c>
      <c r="D439" s="8" t="s">
        <v>109</v>
      </c>
      <c r="E439" s="7" t="str">
        <f t="shared" si="22"/>
        <v>31</v>
      </c>
    </row>
    <row r="440" spans="1:5" x14ac:dyDescent="0.25">
      <c r="A440" s="9" t="str">
        <f t="shared" si="20"/>
        <v>00 STATUS - IDLE</v>
      </c>
      <c r="B440" t="s">
        <v>132</v>
      </c>
      <c r="C440" s="7" t="str">
        <f t="shared" si="21"/>
        <v>31</v>
      </c>
      <c r="D440" s="8" t="s">
        <v>109</v>
      </c>
      <c r="E440" s="7" t="str">
        <f t="shared" si="22"/>
        <v>10</v>
      </c>
    </row>
    <row r="441" spans="1:5" x14ac:dyDescent="0.25">
      <c r="A441" s="9" t="str">
        <f t="shared" si="20"/>
        <v>84 REQUEST MORE TEXT FIELDS - SEND DISC INFO</v>
      </c>
      <c r="B441" t="s">
        <v>127</v>
      </c>
      <c r="C441" s="7" t="str">
        <f t="shared" si="21"/>
        <v>10</v>
      </c>
      <c r="D441" s="8" t="s">
        <v>109</v>
      </c>
      <c r="E441" s="7" t="str">
        <f t="shared" si="22"/>
        <v>31</v>
      </c>
    </row>
    <row r="442" spans="1:5" x14ac:dyDescent="0.25">
      <c r="A442" s="9" t="str">
        <f t="shared" si="20"/>
        <v>01 MASTER REQUEST - SLAVE POLL</v>
      </c>
      <c r="B442" t="s">
        <v>122</v>
      </c>
      <c r="C442" s="7" t="str">
        <f t="shared" si="21"/>
        <v>10</v>
      </c>
      <c r="D442" s="8" t="s">
        <v>109</v>
      </c>
      <c r="E442" s="7" t="str">
        <f t="shared" si="22"/>
        <v>31</v>
      </c>
    </row>
    <row r="443" spans="1:5" x14ac:dyDescent="0.25">
      <c r="A443" s="9" t="str">
        <f t="shared" si="20"/>
        <v>95 MAGAZINE INFO - CD1 YES, CD2 YES, CD3 NO, CD4 NO, CD5 NO, CD6 NO</v>
      </c>
      <c r="B443" t="s">
        <v>128</v>
      </c>
      <c r="C443" s="7" t="str">
        <f t="shared" si="21"/>
        <v>31</v>
      </c>
      <c r="D443" s="8" t="s">
        <v>109</v>
      </c>
      <c r="E443" s="7" t="str">
        <f t="shared" si="22"/>
        <v>10</v>
      </c>
    </row>
    <row r="444" spans="1:5" x14ac:dyDescent="0.25">
      <c r="A444" s="9" t="str">
        <f t="shared" si="20"/>
        <v>01 MASTER REQUEST - SLAVE POLL</v>
      </c>
      <c r="B444" t="s">
        <v>122</v>
      </c>
      <c r="C444" s="7" t="str">
        <f t="shared" si="21"/>
        <v>10</v>
      </c>
      <c r="D444" s="8" t="s">
        <v>109</v>
      </c>
      <c r="E444" s="7" t="str">
        <f t="shared" si="22"/>
        <v>31</v>
      </c>
    </row>
    <row r="445" spans="1:5" x14ac:dyDescent="0.25">
      <c r="A445" s="9" t="str">
        <f t="shared" si="20"/>
        <v>97 DISC INFO - TRACKS: 10, MINS: 50, SECS: 13, DISC: 1</v>
      </c>
      <c r="B445" t="s">
        <v>183</v>
      </c>
      <c r="C445" s="7" t="str">
        <f t="shared" si="21"/>
        <v>31</v>
      </c>
      <c r="D445" s="8" t="s">
        <v>109</v>
      </c>
      <c r="E445" s="7" t="str">
        <f t="shared" si="22"/>
        <v>10</v>
      </c>
    </row>
    <row r="446" spans="1:5" x14ac:dyDescent="0.25">
      <c r="A446" s="9" t="str">
        <f t="shared" si="20"/>
        <v>84 REQUEST MORE TEXT FIELDS - SEND MAGAZINE INFO</v>
      </c>
      <c r="B446" t="s">
        <v>125</v>
      </c>
      <c r="C446" s="7" t="str">
        <f t="shared" si="21"/>
        <v>10</v>
      </c>
      <c r="D446" s="8" t="s">
        <v>109</v>
      </c>
      <c r="E446" s="7" t="str">
        <f t="shared" si="22"/>
        <v>31</v>
      </c>
    </row>
    <row r="447" spans="1:5" x14ac:dyDescent="0.25">
      <c r="A447" s="9" t="str">
        <f t="shared" si="20"/>
        <v>01 MASTER REQUEST - TIME POLL</v>
      </c>
      <c r="B447" t="s">
        <v>165</v>
      </c>
      <c r="C447" s="7" t="str">
        <f t="shared" si="21"/>
        <v>10</v>
      </c>
      <c r="D447" s="8" t="s">
        <v>109</v>
      </c>
      <c r="E447" s="7" t="str">
        <f t="shared" si="22"/>
        <v>31</v>
      </c>
    </row>
    <row r="448" spans="1:5" x14ac:dyDescent="0.25">
      <c r="A448" s="9" t="str">
        <f t="shared" si="20"/>
        <v>00 STATUS - IDLE</v>
      </c>
      <c r="B448" t="s">
        <v>132</v>
      </c>
      <c r="C448" s="7" t="str">
        <f t="shared" si="21"/>
        <v>31</v>
      </c>
      <c r="D448" s="8" t="s">
        <v>109</v>
      </c>
      <c r="E448" s="7" t="str">
        <f t="shared" si="22"/>
        <v>10</v>
      </c>
    </row>
    <row r="449" spans="1:5" x14ac:dyDescent="0.25">
      <c r="A449" s="9" t="str">
        <f t="shared" si="20"/>
        <v>84 REQUEST MORE TEXT FIELDS - SEND DISC INFO</v>
      </c>
      <c r="B449" t="s">
        <v>127</v>
      </c>
      <c r="C449" s="7" t="str">
        <f t="shared" si="21"/>
        <v>10</v>
      </c>
      <c r="D449" s="8" t="s">
        <v>109</v>
      </c>
      <c r="E449" s="7" t="str">
        <f t="shared" si="22"/>
        <v>31</v>
      </c>
    </row>
    <row r="450" spans="1:5" x14ac:dyDescent="0.25">
      <c r="A450" s="9" t="str">
        <f t="shared" si="20"/>
        <v>01 MASTER REQUEST - SLAVE POLL</v>
      </c>
      <c r="B450" t="s">
        <v>122</v>
      </c>
      <c r="C450" s="7" t="str">
        <f t="shared" si="21"/>
        <v>10</v>
      </c>
      <c r="D450" s="8" t="s">
        <v>109</v>
      </c>
      <c r="E450" s="7" t="str">
        <f t="shared" si="22"/>
        <v>31</v>
      </c>
    </row>
    <row r="451" spans="1:5" x14ac:dyDescent="0.25">
      <c r="A451" s="9" t="str">
        <f t="shared" ref="A451:A495" si="23">ParseUnilink(B451)</f>
        <v>95 MAGAZINE INFO - CD1 YES, CD2 YES, CD3 NO, CD4 NO, CD5 NO, CD6 NO</v>
      </c>
      <c r="B451" t="s">
        <v>128</v>
      </c>
      <c r="C451" s="7" t="str">
        <f t="shared" ref="C451:C495" si="24">MID(B451,4,2)</f>
        <v>31</v>
      </c>
      <c r="D451" s="8" t="s">
        <v>109</v>
      </c>
      <c r="E451" s="7" t="str">
        <f t="shared" ref="E451:E495" si="25">MID(B451,1,2)</f>
        <v>10</v>
      </c>
    </row>
    <row r="452" spans="1:5" x14ac:dyDescent="0.25">
      <c r="A452" s="9" t="str">
        <f t="shared" si="23"/>
        <v>01 MASTER REQUEST - SLAVE POLL</v>
      </c>
      <c r="B452" t="s">
        <v>122</v>
      </c>
      <c r="C452" s="7" t="str">
        <f t="shared" si="24"/>
        <v>10</v>
      </c>
      <c r="D452" s="8" t="s">
        <v>109</v>
      </c>
      <c r="E452" s="7" t="str">
        <f t="shared" si="25"/>
        <v>31</v>
      </c>
    </row>
    <row r="453" spans="1:5" x14ac:dyDescent="0.25">
      <c r="A453" s="9" t="str">
        <f t="shared" si="23"/>
        <v>97 DISC INFO - TRACKS: 10, MINS: 50, SECS: 13, DISC: 1</v>
      </c>
      <c r="B453" t="s">
        <v>183</v>
      </c>
      <c r="C453" s="7" t="str">
        <f t="shared" si="24"/>
        <v>31</v>
      </c>
      <c r="D453" s="8" t="s">
        <v>109</v>
      </c>
      <c r="E453" s="7" t="str">
        <f t="shared" si="25"/>
        <v>10</v>
      </c>
    </row>
    <row r="454" spans="1:5" x14ac:dyDescent="0.25">
      <c r="A454" s="9" t="str">
        <f t="shared" si="23"/>
        <v>01 MASTER REQUEST - SLAVE POLL</v>
      </c>
      <c r="B454" t="s">
        <v>122</v>
      </c>
      <c r="C454" s="7" t="str">
        <f t="shared" si="24"/>
        <v>10</v>
      </c>
      <c r="D454" s="8" t="s">
        <v>109</v>
      </c>
      <c r="E454" s="7" t="str">
        <f t="shared" si="25"/>
        <v>31</v>
      </c>
    </row>
    <row r="455" spans="1:5" x14ac:dyDescent="0.25">
      <c r="A455" s="9" t="str">
        <f t="shared" si="23"/>
        <v>00 STATUS - IDLE</v>
      </c>
      <c r="B455" t="s">
        <v>132</v>
      </c>
      <c r="C455" s="7" t="str">
        <f t="shared" si="24"/>
        <v>31</v>
      </c>
      <c r="D455" s="8" t="s">
        <v>109</v>
      </c>
      <c r="E455" s="7" t="str">
        <f t="shared" si="25"/>
        <v>10</v>
      </c>
    </row>
    <row r="456" spans="1:5" x14ac:dyDescent="0.25">
      <c r="A456" s="9" t="str">
        <f t="shared" si="23"/>
        <v>84 REQUEST MORE TEXT FIELDS - SEND MAGAZINE INFO</v>
      </c>
      <c r="B456" t="s">
        <v>125</v>
      </c>
      <c r="C456" s="7" t="str">
        <f t="shared" si="24"/>
        <v>10</v>
      </c>
      <c r="D456" s="8" t="s">
        <v>109</v>
      </c>
      <c r="E456" s="7" t="str">
        <f t="shared" si="25"/>
        <v>31</v>
      </c>
    </row>
    <row r="457" spans="1:5" x14ac:dyDescent="0.25">
      <c r="A457" s="9" t="str">
        <f t="shared" si="23"/>
        <v>01 MASTER REQUEST - TIME POLL</v>
      </c>
      <c r="B457" t="s">
        <v>126</v>
      </c>
      <c r="C457" s="7" t="str">
        <f t="shared" si="24"/>
        <v>10</v>
      </c>
      <c r="D457" s="8" t="s">
        <v>109</v>
      </c>
      <c r="E457" s="7" t="str">
        <f t="shared" si="25"/>
        <v>31</v>
      </c>
    </row>
    <row r="458" spans="1:5" x14ac:dyDescent="0.25">
      <c r="A458" s="9" t="str">
        <f t="shared" si="23"/>
        <v>00 STATUS - IDLE</v>
      </c>
      <c r="B458" t="s">
        <v>132</v>
      </c>
      <c r="C458" s="7" t="str">
        <f t="shared" si="24"/>
        <v>31</v>
      </c>
      <c r="D458" s="8" t="s">
        <v>109</v>
      </c>
      <c r="E458" s="7" t="str">
        <f t="shared" si="25"/>
        <v>10</v>
      </c>
    </row>
    <row r="459" spans="1:5" x14ac:dyDescent="0.25">
      <c r="A459" s="9" t="str">
        <f t="shared" si="23"/>
        <v>84 REQUEST MORE TEXT FIELDS - SEND DISC INFO</v>
      </c>
      <c r="B459" t="s">
        <v>127</v>
      </c>
      <c r="C459" s="7" t="str">
        <f t="shared" si="24"/>
        <v>10</v>
      </c>
      <c r="D459" s="8" t="s">
        <v>109</v>
      </c>
      <c r="E459" s="7" t="str">
        <f t="shared" si="25"/>
        <v>31</v>
      </c>
    </row>
    <row r="460" spans="1:5" x14ac:dyDescent="0.25">
      <c r="A460" s="9" t="str">
        <f t="shared" si="23"/>
        <v>01 MASTER REQUEST - SLAVE POLL</v>
      </c>
      <c r="B460" t="s">
        <v>122</v>
      </c>
      <c r="C460" s="7" t="str">
        <f t="shared" si="24"/>
        <v>10</v>
      </c>
      <c r="D460" s="8" t="s">
        <v>109</v>
      </c>
      <c r="E460" s="7" t="str">
        <f t="shared" si="25"/>
        <v>31</v>
      </c>
    </row>
    <row r="461" spans="1:5" x14ac:dyDescent="0.25">
      <c r="A461" s="9" t="str">
        <f t="shared" si="23"/>
        <v>95 MAGAZINE INFO - CD1 YES, CD2 YES, CD3 NO, CD4 NO, CD5 NO, CD6 NO</v>
      </c>
      <c r="B461" t="s">
        <v>128</v>
      </c>
      <c r="C461" s="7" t="str">
        <f t="shared" si="24"/>
        <v>31</v>
      </c>
      <c r="D461" s="8" t="s">
        <v>109</v>
      </c>
      <c r="E461" s="7" t="str">
        <f t="shared" si="25"/>
        <v>10</v>
      </c>
    </row>
    <row r="462" spans="1:5" x14ac:dyDescent="0.25">
      <c r="A462" s="9" t="str">
        <f t="shared" si="23"/>
        <v>01 MASTER REQUEST - SLAVE POLL</v>
      </c>
      <c r="B462" t="s">
        <v>122</v>
      </c>
      <c r="C462" s="7" t="str">
        <f t="shared" si="24"/>
        <v>10</v>
      </c>
      <c r="D462" s="8" t="s">
        <v>109</v>
      </c>
      <c r="E462" s="7" t="str">
        <f t="shared" si="25"/>
        <v>31</v>
      </c>
    </row>
    <row r="463" spans="1:5" x14ac:dyDescent="0.25">
      <c r="A463" s="9" t="str">
        <f t="shared" si="23"/>
        <v>97 DISC INFO - TRACKS: 10, MINS: 50, SECS: 13, DISC: 1</v>
      </c>
      <c r="B463" t="s">
        <v>183</v>
      </c>
      <c r="C463" s="7" t="str">
        <f t="shared" si="24"/>
        <v>31</v>
      </c>
      <c r="D463" s="8" t="s">
        <v>109</v>
      </c>
      <c r="E463" s="7" t="str">
        <f t="shared" si="25"/>
        <v>10</v>
      </c>
    </row>
    <row r="464" spans="1:5" x14ac:dyDescent="0.25">
      <c r="A464" s="9" t="str">
        <f t="shared" si="23"/>
        <v>84 REQUEST MORE TEXT FIELDS - SEND MAGAZINE INFO</v>
      </c>
      <c r="B464" t="s">
        <v>125</v>
      </c>
      <c r="C464" s="7" t="str">
        <f t="shared" si="24"/>
        <v>10</v>
      </c>
      <c r="D464" s="8" t="s">
        <v>109</v>
      </c>
      <c r="E464" s="7" t="str">
        <f t="shared" si="25"/>
        <v>31</v>
      </c>
    </row>
    <row r="465" spans="1:5" x14ac:dyDescent="0.25">
      <c r="A465" s="9" t="str">
        <f t="shared" si="23"/>
        <v>01 MASTER REQUEST - TIME POLL</v>
      </c>
      <c r="B465" t="s">
        <v>126</v>
      </c>
      <c r="C465" s="7" t="str">
        <f t="shared" si="24"/>
        <v>10</v>
      </c>
      <c r="D465" s="8" t="s">
        <v>109</v>
      </c>
      <c r="E465" s="7" t="str">
        <f t="shared" si="25"/>
        <v>31</v>
      </c>
    </row>
    <row r="466" spans="1:5" x14ac:dyDescent="0.25">
      <c r="A466" s="9" t="str">
        <f t="shared" si="23"/>
        <v>00 STATUS - IDLE</v>
      </c>
      <c r="B466" t="s">
        <v>132</v>
      </c>
      <c r="C466" s="7" t="str">
        <f t="shared" si="24"/>
        <v>31</v>
      </c>
      <c r="D466" s="8" t="s">
        <v>109</v>
      </c>
      <c r="E466" s="7" t="str">
        <f t="shared" si="25"/>
        <v>10</v>
      </c>
    </row>
    <row r="467" spans="1:5" x14ac:dyDescent="0.25">
      <c r="A467" s="9" t="str">
        <f t="shared" si="23"/>
        <v>84 REQUEST MORE TEXT FIELDS - SEND DISC INFO</v>
      </c>
      <c r="B467" t="s">
        <v>127</v>
      </c>
      <c r="C467" s="7" t="str">
        <f t="shared" si="24"/>
        <v>10</v>
      </c>
      <c r="D467" s="8" t="s">
        <v>109</v>
      </c>
      <c r="E467" s="7" t="str">
        <f t="shared" si="25"/>
        <v>31</v>
      </c>
    </row>
    <row r="468" spans="1:5" x14ac:dyDescent="0.25">
      <c r="A468" s="9" t="str">
        <f t="shared" si="23"/>
        <v>01 MASTER REQUEST - SLAVE POLL</v>
      </c>
      <c r="B468" t="s">
        <v>122</v>
      </c>
      <c r="C468" s="7" t="str">
        <f t="shared" si="24"/>
        <v>10</v>
      </c>
      <c r="D468" s="8" t="s">
        <v>109</v>
      </c>
      <c r="E468" s="7" t="str">
        <f t="shared" si="25"/>
        <v>31</v>
      </c>
    </row>
    <row r="469" spans="1:5" x14ac:dyDescent="0.25">
      <c r="A469" s="9" t="str">
        <f t="shared" si="23"/>
        <v>95 MAGAZINE INFO - CD1 YES, CD2 YES, CD3 NO, CD4 NO, CD5 NO, CD6 NO</v>
      </c>
      <c r="B469" t="s">
        <v>128</v>
      </c>
      <c r="C469" s="7" t="str">
        <f t="shared" si="24"/>
        <v>31</v>
      </c>
      <c r="D469" s="8" t="s">
        <v>109</v>
      </c>
      <c r="E469" s="7" t="str">
        <f t="shared" si="25"/>
        <v>10</v>
      </c>
    </row>
    <row r="470" spans="1:5" x14ac:dyDescent="0.25">
      <c r="A470" s="9" t="str">
        <f t="shared" si="23"/>
        <v>01 MASTER REQUEST - SLAVE POLL</v>
      </c>
      <c r="B470" t="s">
        <v>122</v>
      </c>
      <c r="C470" s="7" t="str">
        <f t="shared" si="24"/>
        <v>10</v>
      </c>
      <c r="D470" s="8" t="s">
        <v>109</v>
      </c>
      <c r="E470" s="7" t="str">
        <f t="shared" si="25"/>
        <v>31</v>
      </c>
    </row>
    <row r="471" spans="1:5" x14ac:dyDescent="0.25">
      <c r="A471" s="9" t="str">
        <f t="shared" si="23"/>
        <v>97 DISC INFO - TRACKS: 10, MINS: 50, SECS: 13, DISC: 1</v>
      </c>
      <c r="B471" t="s">
        <v>183</v>
      </c>
      <c r="C471" s="7" t="str">
        <f t="shared" si="24"/>
        <v>31</v>
      </c>
      <c r="D471" s="8" t="s">
        <v>109</v>
      </c>
      <c r="E471" s="7" t="str">
        <f t="shared" si="25"/>
        <v>10</v>
      </c>
    </row>
    <row r="472" spans="1:5" x14ac:dyDescent="0.25">
      <c r="A472" s="9" t="str">
        <f t="shared" si="23"/>
        <v>84 REQUEST MORE TEXT FIELDS - SEND MAGAZINE INFO</v>
      </c>
      <c r="B472" t="s">
        <v>125</v>
      </c>
      <c r="C472" s="7" t="str">
        <f t="shared" si="24"/>
        <v>10</v>
      </c>
      <c r="D472" s="8" t="s">
        <v>109</v>
      </c>
      <c r="E472" s="7" t="str">
        <f t="shared" si="25"/>
        <v>31</v>
      </c>
    </row>
    <row r="473" spans="1:5" x14ac:dyDescent="0.25">
      <c r="A473" s="9" t="str">
        <f t="shared" si="23"/>
        <v>01 MASTER REQUEST - TIME POLL</v>
      </c>
      <c r="B473" t="s">
        <v>126</v>
      </c>
      <c r="C473" s="7" t="str">
        <f t="shared" si="24"/>
        <v>10</v>
      </c>
      <c r="D473" s="8" t="s">
        <v>109</v>
      </c>
      <c r="E473" s="7" t="str">
        <f t="shared" si="25"/>
        <v>31</v>
      </c>
    </row>
    <row r="474" spans="1:5" x14ac:dyDescent="0.25">
      <c r="A474" s="9" t="str">
        <f t="shared" si="23"/>
        <v>00 STATUS - IDLE</v>
      </c>
      <c r="B474" t="s">
        <v>132</v>
      </c>
      <c r="C474" s="7" t="str">
        <f t="shared" si="24"/>
        <v>31</v>
      </c>
      <c r="D474" s="8" t="s">
        <v>109</v>
      </c>
      <c r="E474" s="7" t="str">
        <f t="shared" si="25"/>
        <v>10</v>
      </c>
    </row>
    <row r="475" spans="1:5" x14ac:dyDescent="0.25">
      <c r="A475" s="9" t="str">
        <f t="shared" si="23"/>
        <v>84 REQUEST MORE TEXT FIELDS - SEND DISC INFO</v>
      </c>
      <c r="B475" t="s">
        <v>127</v>
      </c>
      <c r="C475" s="7" t="str">
        <f t="shared" si="24"/>
        <v>10</v>
      </c>
      <c r="D475" s="8" t="s">
        <v>109</v>
      </c>
      <c r="E475" s="7" t="str">
        <f t="shared" si="25"/>
        <v>31</v>
      </c>
    </row>
    <row r="476" spans="1:5" x14ac:dyDescent="0.25">
      <c r="A476" s="9" t="str">
        <f>ParseUnilink(B476)</f>
        <v>01 MASTER REQUEST - SLAVE POLL</v>
      </c>
      <c r="B476" t="s">
        <v>122</v>
      </c>
      <c r="C476" s="7" t="str">
        <f t="shared" si="24"/>
        <v>10</v>
      </c>
      <c r="D476" s="8" t="s">
        <v>109</v>
      </c>
      <c r="E476" s="7" t="str">
        <f t="shared" si="25"/>
        <v>31</v>
      </c>
    </row>
    <row r="477" spans="1:5" x14ac:dyDescent="0.25">
      <c r="A477" s="9" t="str">
        <f t="shared" si="23"/>
        <v>95 MAGAZINE INFO - CD1 YES, CD2 YES, CD3 NO, CD4 NO, CD5 NO, CD6 NO</v>
      </c>
      <c r="B477" t="s">
        <v>128</v>
      </c>
      <c r="C477" s="7" t="str">
        <f t="shared" si="24"/>
        <v>31</v>
      </c>
      <c r="D477" s="8" t="s">
        <v>109</v>
      </c>
      <c r="E477" s="7" t="str">
        <f t="shared" si="25"/>
        <v>10</v>
      </c>
    </row>
    <row r="478" spans="1:5" x14ac:dyDescent="0.25">
      <c r="A478" s="9" t="str">
        <f t="shared" si="23"/>
        <v>01 MASTER REQUEST - SLAVE POLL</v>
      </c>
      <c r="B478" t="s">
        <v>122</v>
      </c>
      <c r="C478" s="7" t="str">
        <f t="shared" si="24"/>
        <v>10</v>
      </c>
      <c r="D478" s="8" t="s">
        <v>109</v>
      </c>
      <c r="E478" s="7" t="str">
        <f t="shared" si="25"/>
        <v>31</v>
      </c>
    </row>
    <row r="479" spans="1:5" x14ac:dyDescent="0.25">
      <c r="A479" s="9" t="str">
        <f t="shared" si="23"/>
        <v>97 DISC INFO - TRACKS: 10, MINS: 50, SECS: 13, DISC: 1</v>
      </c>
      <c r="B479" t="s">
        <v>183</v>
      </c>
      <c r="C479" s="7" t="str">
        <f t="shared" si="24"/>
        <v>31</v>
      </c>
      <c r="D479" s="8" t="s">
        <v>109</v>
      </c>
      <c r="E479" s="7" t="str">
        <f t="shared" si="25"/>
        <v>10</v>
      </c>
    </row>
    <row r="480" spans="1:5" x14ac:dyDescent="0.25">
      <c r="A480" s="9" t="str">
        <f t="shared" si="23"/>
        <v>84 REQUEST MORE TEXT FIELDS - SEND MAGAZINE INFO</v>
      </c>
      <c r="B480" t="s">
        <v>125</v>
      </c>
      <c r="C480" s="7" t="str">
        <f t="shared" si="24"/>
        <v>10</v>
      </c>
      <c r="D480" s="8" t="s">
        <v>109</v>
      </c>
      <c r="E480" s="7" t="str">
        <f t="shared" si="25"/>
        <v>31</v>
      </c>
    </row>
    <row r="481" spans="1:5" x14ac:dyDescent="0.25">
      <c r="A481" s="9" t="str">
        <f t="shared" si="23"/>
        <v>01 MASTER REQUEST - TIME POLL</v>
      </c>
      <c r="B481" t="s">
        <v>126</v>
      </c>
      <c r="C481" s="7" t="str">
        <f t="shared" si="24"/>
        <v>10</v>
      </c>
      <c r="D481" s="8" t="s">
        <v>109</v>
      </c>
      <c r="E481" s="7" t="str">
        <f t="shared" si="25"/>
        <v>31</v>
      </c>
    </row>
    <row r="482" spans="1:5" x14ac:dyDescent="0.25">
      <c r="A482" s="9" t="str">
        <f t="shared" si="23"/>
        <v>00 STATUS - IDLE</v>
      </c>
      <c r="B482" t="s">
        <v>132</v>
      </c>
      <c r="C482" s="7" t="str">
        <f t="shared" si="24"/>
        <v>31</v>
      </c>
      <c r="D482" s="8" t="s">
        <v>109</v>
      </c>
      <c r="E482" s="7" t="str">
        <f t="shared" si="25"/>
        <v>10</v>
      </c>
    </row>
    <row r="483" spans="1:5" x14ac:dyDescent="0.25">
      <c r="A483" s="9" t="str">
        <f t="shared" si="23"/>
        <v>84 REQUEST MORE TEXT FIELDS - SEND DISC INFO</v>
      </c>
      <c r="B483" t="s">
        <v>127</v>
      </c>
      <c r="C483" s="7" t="str">
        <f t="shared" si="24"/>
        <v>10</v>
      </c>
      <c r="D483" s="8" t="s">
        <v>109</v>
      </c>
      <c r="E483" s="7" t="str">
        <f t="shared" si="25"/>
        <v>31</v>
      </c>
    </row>
    <row r="484" spans="1:5" x14ac:dyDescent="0.25">
      <c r="A484" s="9" t="str">
        <f t="shared" si="23"/>
        <v>01 MASTER REQUEST - SLAVE POLL</v>
      </c>
      <c r="B484" t="s">
        <v>122</v>
      </c>
      <c r="C484" s="7" t="str">
        <f t="shared" si="24"/>
        <v>10</v>
      </c>
      <c r="D484" s="8" t="s">
        <v>109</v>
      </c>
      <c r="E484" s="7" t="str">
        <f t="shared" si="25"/>
        <v>31</v>
      </c>
    </row>
    <row r="485" spans="1:5" x14ac:dyDescent="0.25">
      <c r="A485" s="9" t="str">
        <f t="shared" si="23"/>
        <v>95 MAGAZINE INFO - CD1 YES, CD2 YES, CD3 NO, CD4 NO, CD5 NO, CD6 NO</v>
      </c>
      <c r="B485" t="s">
        <v>128</v>
      </c>
      <c r="C485" s="7" t="str">
        <f t="shared" si="24"/>
        <v>31</v>
      </c>
      <c r="D485" s="8" t="s">
        <v>109</v>
      </c>
      <c r="E485" s="7" t="str">
        <f t="shared" si="25"/>
        <v>10</v>
      </c>
    </row>
    <row r="486" spans="1:5" x14ac:dyDescent="0.25">
      <c r="A486" s="9" t="str">
        <f t="shared" si="23"/>
        <v>01 MASTER REQUEST - SLAVE POLL</v>
      </c>
      <c r="B486" t="s">
        <v>122</v>
      </c>
      <c r="C486" s="7" t="str">
        <f t="shared" si="24"/>
        <v>10</v>
      </c>
      <c r="D486" s="8" t="s">
        <v>109</v>
      </c>
      <c r="E486" s="7" t="str">
        <f t="shared" si="25"/>
        <v>31</v>
      </c>
    </row>
    <row r="487" spans="1:5" x14ac:dyDescent="0.25">
      <c r="A487" s="9" t="str">
        <f t="shared" si="23"/>
        <v>97 DISC INFO - TRACKS: 10, MINS: 50, SECS: 13, DISC: 1</v>
      </c>
      <c r="B487" t="s">
        <v>183</v>
      </c>
      <c r="C487" s="7" t="str">
        <f t="shared" si="24"/>
        <v>31</v>
      </c>
      <c r="D487" s="8" t="s">
        <v>109</v>
      </c>
      <c r="E487" s="7" t="str">
        <f t="shared" si="25"/>
        <v>10</v>
      </c>
    </row>
    <row r="488" spans="1:5" x14ac:dyDescent="0.25">
      <c r="A488" s="9" t="str">
        <f t="shared" si="23"/>
        <v>84 REQUEST MORE TEXT FIELDS - SEND MAGAZINE INFO</v>
      </c>
      <c r="B488" t="s">
        <v>125</v>
      </c>
      <c r="C488" s="7" t="str">
        <f t="shared" si="24"/>
        <v>10</v>
      </c>
      <c r="D488" s="8" t="s">
        <v>109</v>
      </c>
      <c r="E488" s="7" t="str">
        <f t="shared" si="25"/>
        <v>31</v>
      </c>
    </row>
    <row r="489" spans="1:5" x14ac:dyDescent="0.25">
      <c r="A489" s="9" t="str">
        <f t="shared" si="23"/>
        <v>01 MASTER REQUEST - TIME POLL</v>
      </c>
      <c r="B489" t="s">
        <v>126</v>
      </c>
      <c r="C489" s="7" t="str">
        <f t="shared" si="24"/>
        <v>10</v>
      </c>
      <c r="D489" s="8" t="s">
        <v>109</v>
      </c>
      <c r="E489" s="7" t="str">
        <f t="shared" si="25"/>
        <v>31</v>
      </c>
    </row>
    <row r="490" spans="1:5" x14ac:dyDescent="0.25">
      <c r="A490" s="9" t="str">
        <f t="shared" si="23"/>
        <v>00 STATUS - IDLE</v>
      </c>
      <c r="B490" t="s">
        <v>132</v>
      </c>
      <c r="C490" s="7" t="str">
        <f t="shared" si="24"/>
        <v>31</v>
      </c>
      <c r="D490" s="8" t="s">
        <v>109</v>
      </c>
      <c r="E490" s="7" t="str">
        <f t="shared" si="25"/>
        <v>10</v>
      </c>
    </row>
    <row r="491" spans="1:5" x14ac:dyDescent="0.25">
      <c r="A491" s="9" t="str">
        <f t="shared" si="23"/>
        <v>84 REQUEST MORE TEXT FIELDS - SEND DISC INFO</v>
      </c>
      <c r="B491" t="s">
        <v>127</v>
      </c>
      <c r="C491" s="7" t="str">
        <f t="shared" si="24"/>
        <v>10</v>
      </c>
      <c r="D491" s="8" t="s">
        <v>109</v>
      </c>
      <c r="E491" s="7" t="str">
        <f t="shared" si="25"/>
        <v>31</v>
      </c>
    </row>
    <row r="492" spans="1:5" x14ac:dyDescent="0.25">
      <c r="A492" s="9" t="str">
        <f t="shared" si="23"/>
        <v>01 MASTER REQUEST - SLAVE POLL</v>
      </c>
      <c r="B492" t="s">
        <v>122</v>
      </c>
      <c r="C492" s="7" t="str">
        <f t="shared" si="24"/>
        <v>10</v>
      </c>
      <c r="D492" s="8" t="s">
        <v>109</v>
      </c>
      <c r="E492" s="7" t="str">
        <f t="shared" si="25"/>
        <v>31</v>
      </c>
    </row>
    <row r="493" spans="1:5" x14ac:dyDescent="0.25">
      <c r="A493" s="9" t="str">
        <f t="shared" si="23"/>
        <v>95 MAGAZINE INFO - CD1 YES, CD2 YES, CD3 NO, CD4 NO, CD5 NO, CD6 NO</v>
      </c>
      <c r="B493" t="s">
        <v>128</v>
      </c>
      <c r="C493" s="7" t="str">
        <f t="shared" si="24"/>
        <v>31</v>
      </c>
      <c r="D493" s="8" t="s">
        <v>109</v>
      </c>
      <c r="E493" s="7" t="str">
        <f t="shared" si="25"/>
        <v>10</v>
      </c>
    </row>
    <row r="494" spans="1:5" x14ac:dyDescent="0.25">
      <c r="A494" s="9" t="str">
        <f t="shared" si="23"/>
        <v>01 MASTER REQUEST - SLAVE POLL</v>
      </c>
      <c r="B494" t="s">
        <v>122</v>
      </c>
      <c r="C494" s="7" t="str">
        <f t="shared" si="24"/>
        <v>10</v>
      </c>
      <c r="D494" s="8" t="s">
        <v>109</v>
      </c>
      <c r="E494" s="7" t="str">
        <f t="shared" si="25"/>
        <v>31</v>
      </c>
    </row>
    <row r="495" spans="1:5" x14ac:dyDescent="0.25">
      <c r="A495" s="9" t="str">
        <f t="shared" si="23"/>
        <v>97 DISC INFO - TRACKS: 10, MINS: 50, SECS: 13, DISC: 1</v>
      </c>
      <c r="B495" t="s">
        <v>183</v>
      </c>
      <c r="C495" s="7" t="str">
        <f t="shared" si="24"/>
        <v>31</v>
      </c>
      <c r="D495" s="8" t="s">
        <v>109</v>
      </c>
      <c r="E495" s="7" t="str">
        <f t="shared" si="25"/>
        <v>10</v>
      </c>
    </row>
  </sheetData>
  <conditionalFormatting sqref="A2:A495">
    <cfRule type="expression" dxfId="63" priority="7">
      <formula>AND(EXACT($A$1,"01"),EXACT(MID(B2,7,5),"01 02"))</formula>
    </cfRule>
    <cfRule type="expression" dxfId="62" priority="8">
      <formula>AND(EXACT($A$1,"01"),EXACT(MID(B2,7,5),"01 00"))</formula>
    </cfRule>
    <cfRule type="expression" dxfId="55" priority="9">
      <formula>EXACT(UPPER($A$1),UPPER(MID(B2,7,2)))</formula>
    </cfRule>
  </conditionalFormatting>
  <conditionalFormatting sqref="B2:B495">
    <cfRule type="expression" dxfId="61" priority="10">
      <formula>EXACT(MID(B2,4,2),"31")</formula>
    </cfRule>
    <cfRule type="expression" dxfId="60" priority="11">
      <formula>EXACT(MID(B2,4,2),"30")</formula>
    </cfRule>
    <cfRule type="expression" dxfId="59" priority="12">
      <formula>EXACT(MID(B2,4,2),"10")</formula>
    </cfRule>
    <cfRule type="expression" dxfId="58" priority="13">
      <formula>EXACT(MID(B2,4,2),"11")</formula>
    </cfRule>
  </conditionalFormatting>
  <conditionalFormatting sqref="C2:C495 E2:E495">
    <cfRule type="expression" dxfId="57" priority="2">
      <formula>GESTEP(HEX2DEC($E2),70)</formula>
    </cfRule>
  </conditionalFormatting>
  <conditionalFormatting sqref="D2:D495">
    <cfRule type="expression" dxfId="56" priority="1">
      <formula>GESTEP(HEX2DEC($E2),70)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fresh_button_Click">
                <anchor mov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752475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"/>
  <dimension ref="A1:L929"/>
  <sheetViews>
    <sheetView workbookViewId="0"/>
  </sheetViews>
  <sheetFormatPr baseColWidth="10" defaultRowHeight="15" x14ac:dyDescent="0.25"/>
  <cols>
    <col min="1" max="1" width="80.7109375" customWidth="1"/>
    <col min="2" max="2" width="38.7109375" customWidth="1"/>
    <col min="3" max="5" width="3.7109375" customWidth="1"/>
    <col min="7" max="7" width="20.7109375" customWidth="1"/>
    <col min="8" max="8" width="6.7109375" customWidth="1"/>
  </cols>
  <sheetData>
    <row r="1" spans="1:12" x14ac:dyDescent="0.25">
      <c r="A1" s="11"/>
      <c r="B1" s="10" t="s">
        <v>184</v>
      </c>
      <c r="C1" t="s">
        <v>185</v>
      </c>
      <c r="E1" t="s">
        <v>186</v>
      </c>
      <c r="G1" s="19" t="s">
        <v>315</v>
      </c>
      <c r="H1" s="19"/>
      <c r="I1" s="19"/>
      <c r="J1" s="18"/>
      <c r="K1" s="18"/>
      <c r="L1" s="18"/>
    </row>
    <row r="2" spans="1:12" x14ac:dyDescent="0.25">
      <c r="A2" s="9" t="str">
        <f>ParseUnilink(B2)</f>
        <v>01 MASTER REQUEST - BUS RESET</v>
      </c>
      <c r="B2" t="s">
        <v>189</v>
      </c>
      <c r="C2" s="7" t="str">
        <f t="shared" ref="C2:C65" si="0">MID(B2,4,2)</f>
        <v>10</v>
      </c>
      <c r="D2" s="8" t="s">
        <v>109</v>
      </c>
      <c r="E2" s="7" t="str">
        <f t="shared" ref="E2:E65" si="1">MID(B2,1,2)</f>
        <v>18</v>
      </c>
      <c r="G2" s="19" t="s">
        <v>108</v>
      </c>
      <c r="H2" s="18"/>
      <c r="I2" s="18"/>
      <c r="J2" s="18"/>
      <c r="K2" s="18"/>
      <c r="L2" s="18"/>
    </row>
    <row r="3" spans="1:12" x14ac:dyDescent="0.25">
      <c r="A3" s="9" t="str">
        <f t="shared" ref="A3:A66" si="2">ParseUnilink(B3)</f>
        <v>01 MASTER REQUEST - ANYONE?</v>
      </c>
      <c r="B3" t="s">
        <v>1</v>
      </c>
      <c r="C3" s="7" t="str">
        <f t="shared" si="0"/>
        <v>10</v>
      </c>
      <c r="D3" s="8" t="s">
        <v>109</v>
      </c>
      <c r="E3" s="7" t="str">
        <f t="shared" si="1"/>
        <v>18</v>
      </c>
    </row>
    <row r="4" spans="1:12" ht="15.75" thickBot="1" x14ac:dyDescent="0.3">
      <c r="A4" s="9" t="str">
        <f t="shared" si="2"/>
        <v>8C DEVICE INFO</v>
      </c>
      <c r="B4" t="s">
        <v>190</v>
      </c>
      <c r="C4" s="7" t="str">
        <f t="shared" si="0"/>
        <v>30</v>
      </c>
      <c r="D4" s="8" t="s">
        <v>109</v>
      </c>
      <c r="E4" s="7" t="str">
        <f t="shared" si="1"/>
        <v>10</v>
      </c>
    </row>
    <row r="5" spans="1:12" ht="15.75" thickBot="1" x14ac:dyDescent="0.3">
      <c r="A5" s="9" t="str">
        <f t="shared" si="2"/>
        <v>02 CONFIG FROM MASTER - TELL SLAVE ABOUT ASSIGNED ID</v>
      </c>
      <c r="B5" t="s">
        <v>5</v>
      </c>
      <c r="C5" s="7" t="str">
        <f t="shared" si="0"/>
        <v>10</v>
      </c>
      <c r="D5" s="8" t="s">
        <v>109</v>
      </c>
      <c r="E5" s="7" t="str">
        <f t="shared" si="1"/>
        <v>31</v>
      </c>
      <c r="G5" s="12" t="s">
        <v>314</v>
      </c>
      <c r="H5" s="13" t="s">
        <v>313</v>
      </c>
    </row>
    <row r="6" spans="1:12" x14ac:dyDescent="0.25">
      <c r="A6" s="9" t="str">
        <f t="shared" si="2"/>
        <v>8C DEVICE INFO</v>
      </c>
      <c r="B6" t="s">
        <v>191</v>
      </c>
      <c r="C6" s="7" t="str">
        <f t="shared" si="0"/>
        <v>31</v>
      </c>
      <c r="D6" s="8" t="s">
        <v>109</v>
      </c>
      <c r="E6" s="7" t="str">
        <f t="shared" si="1"/>
        <v>10</v>
      </c>
      <c r="G6" s="16" t="s">
        <v>243</v>
      </c>
      <c r="H6" s="14" t="s">
        <v>148</v>
      </c>
    </row>
    <row r="7" spans="1:12" x14ac:dyDescent="0.25">
      <c r="A7" s="9" t="str">
        <f t="shared" si="2"/>
        <v>01 MASTER REQUEST - APPOINT END</v>
      </c>
      <c r="B7" t="s">
        <v>192</v>
      </c>
      <c r="C7" s="7" t="str">
        <f t="shared" si="0"/>
        <v>10</v>
      </c>
      <c r="D7" s="8" t="s">
        <v>109</v>
      </c>
      <c r="E7" s="7" t="str">
        <f t="shared" si="1"/>
        <v>18</v>
      </c>
      <c r="G7" s="16" t="s">
        <v>244</v>
      </c>
      <c r="H7" s="14" t="s">
        <v>148</v>
      </c>
    </row>
    <row r="8" spans="1:12" x14ac:dyDescent="0.25">
      <c r="A8" s="9" t="str">
        <f t="shared" si="2"/>
        <v>01 MASTER REQUEST - ???</v>
      </c>
      <c r="B8" t="s">
        <v>193</v>
      </c>
      <c r="C8" s="7" t="str">
        <f t="shared" si="0"/>
        <v>10</v>
      </c>
      <c r="D8" s="8" t="s">
        <v>109</v>
      </c>
      <c r="E8" s="7" t="str">
        <f t="shared" si="1"/>
        <v>18</v>
      </c>
      <c r="G8" s="16" t="s">
        <v>245</v>
      </c>
      <c r="H8" s="14" t="s">
        <v>148</v>
      </c>
    </row>
    <row r="9" spans="1:12" x14ac:dyDescent="0.25">
      <c r="A9" s="9" t="str">
        <f t="shared" si="2"/>
        <v>88 FROM MASTER TO GROUP ID AFTER ANYONE SPECIAL</v>
      </c>
      <c r="B9" t="s">
        <v>194</v>
      </c>
      <c r="C9" s="7" t="str">
        <f t="shared" si="0"/>
        <v>11</v>
      </c>
      <c r="D9" s="8" t="s">
        <v>109</v>
      </c>
      <c r="E9" s="7" t="str">
        <f t="shared" si="1"/>
        <v>31</v>
      </c>
      <c r="G9" s="16" t="s">
        <v>246</v>
      </c>
      <c r="H9" s="14" t="s">
        <v>242</v>
      </c>
    </row>
    <row r="10" spans="1:12" x14ac:dyDescent="0.25">
      <c r="A10" s="9" t="str">
        <f t="shared" si="2"/>
        <v>F0 SWITCH SOURCE FROM 51 TO 31</v>
      </c>
      <c r="B10" t="s">
        <v>195</v>
      </c>
      <c r="C10" s="7" t="str">
        <f t="shared" si="0"/>
        <v>10</v>
      </c>
      <c r="D10" s="8" t="s">
        <v>109</v>
      </c>
      <c r="E10" s="7" t="str">
        <f t="shared" si="1"/>
        <v>18</v>
      </c>
      <c r="G10" s="16" t="s">
        <v>247</v>
      </c>
      <c r="H10" s="14" t="s">
        <v>287</v>
      </c>
    </row>
    <row r="11" spans="1:12" x14ac:dyDescent="0.25">
      <c r="A11" s="9" t="str">
        <f t="shared" si="2"/>
        <v>21 SWITCH TO CD?</v>
      </c>
      <c r="B11" t="s">
        <v>196</v>
      </c>
      <c r="C11" s="7" t="str">
        <f t="shared" si="0"/>
        <v>11</v>
      </c>
      <c r="D11" s="8" t="s">
        <v>109</v>
      </c>
      <c r="E11" s="7" t="str">
        <f t="shared" si="1"/>
        <v>31</v>
      </c>
      <c r="G11" s="16" t="s">
        <v>248</v>
      </c>
      <c r="H11" s="14" t="s">
        <v>287</v>
      </c>
    </row>
    <row r="12" spans="1:12" x14ac:dyDescent="0.25">
      <c r="A12" s="9" t="str">
        <f t="shared" si="2"/>
        <v>20 PLAY (FROM MASTER)</v>
      </c>
      <c r="B12" t="s">
        <v>197</v>
      </c>
      <c r="C12" s="7" t="str">
        <f t="shared" si="0"/>
        <v>10</v>
      </c>
      <c r="D12" s="8" t="s">
        <v>109</v>
      </c>
      <c r="E12" s="7" t="str">
        <f t="shared" si="1"/>
        <v>31</v>
      </c>
      <c r="G12" s="16" t="s">
        <v>249</v>
      </c>
      <c r="H12" s="14" t="s">
        <v>288</v>
      </c>
    </row>
    <row r="13" spans="1:12" x14ac:dyDescent="0.25">
      <c r="A13" s="9" t="str">
        <f t="shared" si="2"/>
        <v>84 REQUEST MORE TEXT FIELDS - SEND MAGAZINE INFO</v>
      </c>
      <c r="B13" t="s">
        <v>198</v>
      </c>
      <c r="C13" s="7" t="str">
        <f t="shared" si="0"/>
        <v>10</v>
      </c>
      <c r="D13" s="8" t="s">
        <v>109</v>
      </c>
      <c r="E13" s="7" t="str">
        <f t="shared" si="1"/>
        <v>31</v>
      </c>
      <c r="G13" s="16" t="s">
        <v>250</v>
      </c>
      <c r="H13" s="14" t="s">
        <v>289</v>
      </c>
    </row>
    <row r="14" spans="1:12" x14ac:dyDescent="0.25">
      <c r="A14" s="9" t="str">
        <f t="shared" si="2"/>
        <v>01 MASTER REQUEST - TIME POLL</v>
      </c>
      <c r="B14" t="s">
        <v>34</v>
      </c>
      <c r="C14" s="7" t="str">
        <f t="shared" si="0"/>
        <v>10</v>
      </c>
      <c r="D14" s="8" t="s">
        <v>109</v>
      </c>
      <c r="E14" s="7" t="str">
        <f t="shared" si="1"/>
        <v>31</v>
      </c>
      <c r="G14" s="16" t="s">
        <v>251</v>
      </c>
      <c r="H14" s="14" t="s">
        <v>290</v>
      </c>
    </row>
    <row r="15" spans="1:12" x14ac:dyDescent="0.25">
      <c r="A15" s="9" t="str">
        <f t="shared" si="2"/>
        <v>00 STATUS - CHANGING CD</v>
      </c>
      <c r="B15" t="s">
        <v>199</v>
      </c>
      <c r="C15" s="7" t="str">
        <f t="shared" si="0"/>
        <v>31</v>
      </c>
      <c r="D15" s="8" t="s">
        <v>109</v>
      </c>
      <c r="E15" s="7" t="str">
        <f t="shared" si="1"/>
        <v>10</v>
      </c>
      <c r="G15" s="16" t="s">
        <v>252</v>
      </c>
      <c r="H15" s="14" t="s">
        <v>291</v>
      </c>
    </row>
    <row r="16" spans="1:12" x14ac:dyDescent="0.25">
      <c r="A16" s="9" t="str">
        <f t="shared" si="2"/>
        <v>84 REQUEST MORE TEXT FIELDS - SEND DISC INFO</v>
      </c>
      <c r="B16" t="s">
        <v>200</v>
      </c>
      <c r="C16" s="7" t="str">
        <f t="shared" si="0"/>
        <v>10</v>
      </c>
      <c r="D16" s="8" t="s">
        <v>109</v>
      </c>
      <c r="E16" s="7" t="str">
        <f t="shared" si="1"/>
        <v>31</v>
      </c>
      <c r="G16" s="16" t="s">
        <v>253</v>
      </c>
      <c r="H16" s="14" t="s">
        <v>292</v>
      </c>
    </row>
    <row r="17" spans="1:8" x14ac:dyDescent="0.25">
      <c r="A17" s="9" t="str">
        <f t="shared" si="2"/>
        <v>01 MASTER REQUEST - SLAVE POLL</v>
      </c>
      <c r="B17" t="s">
        <v>18</v>
      </c>
      <c r="C17" s="7" t="str">
        <f t="shared" si="0"/>
        <v>10</v>
      </c>
      <c r="D17" s="8" t="s">
        <v>109</v>
      </c>
      <c r="E17" s="7" t="str">
        <f t="shared" si="1"/>
        <v>31</v>
      </c>
      <c r="G17" s="16" t="s">
        <v>254</v>
      </c>
      <c r="H17" s="14" t="s">
        <v>293</v>
      </c>
    </row>
    <row r="18" spans="1:8" x14ac:dyDescent="0.25">
      <c r="A18" s="9" t="str">
        <f t="shared" si="2"/>
        <v>95 MAGAZINE INFO - CD1 NO, CD2 NO, CD3 NO, CD4 NO, CD5 NO, CD6 NO</v>
      </c>
      <c r="B18" t="s">
        <v>201</v>
      </c>
      <c r="C18" s="7" t="str">
        <f t="shared" si="0"/>
        <v>31</v>
      </c>
      <c r="D18" s="8" t="s">
        <v>109</v>
      </c>
      <c r="E18" s="7" t="str">
        <f t="shared" si="1"/>
        <v>10</v>
      </c>
      <c r="G18" s="16" t="s">
        <v>255</v>
      </c>
      <c r="H18" s="14" t="s">
        <v>294</v>
      </c>
    </row>
    <row r="19" spans="1:8" x14ac:dyDescent="0.25">
      <c r="A19" s="9" t="str">
        <f t="shared" si="2"/>
        <v>01 MASTER REQUEST - SLAVE POLL</v>
      </c>
      <c r="B19" t="s">
        <v>18</v>
      </c>
      <c r="C19" s="7" t="str">
        <f t="shared" si="0"/>
        <v>10</v>
      </c>
      <c r="D19" s="8" t="s">
        <v>109</v>
      </c>
      <c r="E19" s="7" t="str">
        <f t="shared" si="1"/>
        <v>31</v>
      </c>
      <c r="G19" s="16" t="s">
        <v>256</v>
      </c>
      <c r="H19" s="14" t="s">
        <v>295</v>
      </c>
    </row>
    <row r="20" spans="1:8" x14ac:dyDescent="0.25">
      <c r="A20" s="9" t="str">
        <f t="shared" si="2"/>
        <v>01 MASTER REQUEST - SLAVE POLL</v>
      </c>
      <c r="B20" t="s">
        <v>18</v>
      </c>
      <c r="C20" s="7" t="str">
        <f t="shared" si="0"/>
        <v>10</v>
      </c>
      <c r="D20" s="8" t="s">
        <v>109</v>
      </c>
      <c r="E20" s="7" t="str">
        <f t="shared" si="1"/>
        <v>31</v>
      </c>
      <c r="G20" s="16" t="s">
        <v>257</v>
      </c>
      <c r="H20" s="14" t="s">
        <v>296</v>
      </c>
    </row>
    <row r="21" spans="1:8" x14ac:dyDescent="0.25">
      <c r="A21" s="9" t="str">
        <f>ParseUnilink(B21)</f>
        <v>9C AFTER DISC CHANGE TO MASTER - Disc number: 1</v>
      </c>
      <c r="B21" t="s">
        <v>202</v>
      </c>
      <c r="C21" s="7" t="str">
        <f t="shared" si="0"/>
        <v>31</v>
      </c>
      <c r="D21" s="8" t="s">
        <v>109</v>
      </c>
      <c r="E21" s="7" t="str">
        <f t="shared" si="1"/>
        <v>90</v>
      </c>
      <c r="G21" s="16" t="s">
        <v>258</v>
      </c>
      <c r="H21" s="14" t="s">
        <v>297</v>
      </c>
    </row>
    <row r="22" spans="1:8" x14ac:dyDescent="0.25">
      <c r="A22" s="9" t="str">
        <f t="shared" si="2"/>
        <v>01 MASTER REQUEST - SLAVE POLL</v>
      </c>
      <c r="B22" t="s">
        <v>18</v>
      </c>
      <c r="C22" s="7" t="str">
        <f t="shared" si="0"/>
        <v>10</v>
      </c>
      <c r="D22" s="8" t="s">
        <v>109</v>
      </c>
      <c r="E22" s="7" t="str">
        <f t="shared" si="1"/>
        <v>31</v>
      </c>
      <c r="G22" s="16" t="s">
        <v>259</v>
      </c>
      <c r="H22" s="14" t="s">
        <v>298</v>
      </c>
    </row>
    <row r="23" spans="1:8" x14ac:dyDescent="0.25">
      <c r="A23" s="9" t="str">
        <f t="shared" si="2"/>
        <v>97 DISC INFO - TRACKS: 99, MINS: 00, SECS: 00, DISC: 1</v>
      </c>
      <c r="B23" t="s">
        <v>203</v>
      </c>
      <c r="C23" s="7" t="str">
        <f t="shared" si="0"/>
        <v>31</v>
      </c>
      <c r="D23" s="8" t="s">
        <v>109</v>
      </c>
      <c r="E23" s="7" t="str">
        <f t="shared" si="1"/>
        <v>10</v>
      </c>
      <c r="G23" s="16" t="s">
        <v>260</v>
      </c>
      <c r="H23" s="14" t="s">
        <v>299</v>
      </c>
    </row>
    <row r="24" spans="1:8" x14ac:dyDescent="0.25">
      <c r="A24" s="9" t="str">
        <f t="shared" si="2"/>
        <v>84 REQUEST MORE TEXT FIELDS - SEND MAGAZINE INFO</v>
      </c>
      <c r="B24" t="s">
        <v>198</v>
      </c>
      <c r="C24" s="7" t="str">
        <f t="shared" si="0"/>
        <v>10</v>
      </c>
      <c r="D24" s="8" t="s">
        <v>109</v>
      </c>
      <c r="E24" s="7" t="str">
        <f t="shared" si="1"/>
        <v>31</v>
      </c>
      <c r="G24" s="16" t="s">
        <v>261</v>
      </c>
      <c r="H24" s="14" t="s">
        <v>300</v>
      </c>
    </row>
    <row r="25" spans="1:8" x14ac:dyDescent="0.25">
      <c r="A25" s="9" t="str">
        <f t="shared" si="2"/>
        <v>00 STATUS - CHANGING CD</v>
      </c>
      <c r="B25" t="s">
        <v>199</v>
      </c>
      <c r="C25" s="7" t="str">
        <f t="shared" si="0"/>
        <v>31</v>
      </c>
      <c r="D25" s="8" t="s">
        <v>109</v>
      </c>
      <c r="E25" s="7" t="str">
        <f t="shared" si="1"/>
        <v>10</v>
      </c>
      <c r="G25" s="16" t="s">
        <v>262</v>
      </c>
      <c r="H25" s="14" t="s">
        <v>301</v>
      </c>
    </row>
    <row r="26" spans="1:8" x14ac:dyDescent="0.25">
      <c r="A26" s="9" t="str">
        <f t="shared" si="2"/>
        <v>84 REQUEST MORE TEXT FIELDS - SEND DISC INFO</v>
      </c>
      <c r="B26" t="s">
        <v>200</v>
      </c>
      <c r="C26" s="7" t="str">
        <f t="shared" si="0"/>
        <v>10</v>
      </c>
      <c r="D26" s="8" t="s">
        <v>109</v>
      </c>
      <c r="E26" s="7" t="str">
        <f t="shared" si="1"/>
        <v>31</v>
      </c>
      <c r="G26" s="16" t="s">
        <v>263</v>
      </c>
      <c r="H26" s="14" t="s">
        <v>302</v>
      </c>
    </row>
    <row r="27" spans="1:8" x14ac:dyDescent="0.25">
      <c r="A27" s="9" t="str">
        <f t="shared" si="2"/>
        <v>95 MAGAZINE INFO - CD1 NO, CD2 NO, CD3 NO, CD4 NO, CD5 NO, CD6 NO</v>
      </c>
      <c r="B27" t="s">
        <v>201</v>
      </c>
      <c r="C27" s="7" t="str">
        <f t="shared" si="0"/>
        <v>31</v>
      </c>
      <c r="D27" s="8" t="s">
        <v>109</v>
      </c>
      <c r="E27" s="7" t="str">
        <f t="shared" si="1"/>
        <v>10</v>
      </c>
      <c r="G27" s="16" t="s">
        <v>264</v>
      </c>
      <c r="H27" s="14" t="s">
        <v>303</v>
      </c>
    </row>
    <row r="28" spans="1:8" x14ac:dyDescent="0.25">
      <c r="A28" s="9" t="str">
        <f t="shared" si="2"/>
        <v>01 MASTER REQUEST - SLAVE POLL</v>
      </c>
      <c r="B28" t="s">
        <v>18</v>
      </c>
      <c r="C28" s="7" t="str">
        <f t="shared" si="0"/>
        <v>10</v>
      </c>
      <c r="D28" s="8" t="s">
        <v>109</v>
      </c>
      <c r="E28" s="7" t="str">
        <f t="shared" si="1"/>
        <v>31</v>
      </c>
      <c r="G28" s="16" t="s">
        <v>265</v>
      </c>
      <c r="H28" s="14" t="s">
        <v>304</v>
      </c>
    </row>
    <row r="29" spans="1:8" x14ac:dyDescent="0.25">
      <c r="A29" s="9" t="str">
        <f t="shared" si="2"/>
        <v>97 DISC INFO - TRACKS: 99, MINS: 00, SECS: 00, DISC: 1</v>
      </c>
      <c r="B29" t="s">
        <v>203</v>
      </c>
      <c r="C29" s="7" t="str">
        <f t="shared" si="0"/>
        <v>31</v>
      </c>
      <c r="D29" s="8" t="s">
        <v>109</v>
      </c>
      <c r="E29" s="7" t="str">
        <f t="shared" si="1"/>
        <v>10</v>
      </c>
      <c r="G29" s="16" t="s">
        <v>266</v>
      </c>
      <c r="H29" s="14" t="s">
        <v>305</v>
      </c>
    </row>
    <row r="30" spans="1:8" x14ac:dyDescent="0.25">
      <c r="A30" s="9" t="str">
        <f t="shared" si="2"/>
        <v>01 MASTER REQUEST - SLAVE POLL</v>
      </c>
      <c r="B30" t="s">
        <v>18</v>
      </c>
      <c r="C30" s="7" t="str">
        <f t="shared" si="0"/>
        <v>10</v>
      </c>
      <c r="D30" s="8" t="s">
        <v>109</v>
      </c>
      <c r="E30" s="7" t="str">
        <f t="shared" si="1"/>
        <v>31</v>
      </c>
      <c r="G30" s="16" t="s">
        <v>267</v>
      </c>
      <c r="H30" s="14" t="s">
        <v>306</v>
      </c>
    </row>
    <row r="31" spans="1:8" x14ac:dyDescent="0.25">
      <c r="A31" s="9" t="str">
        <f t="shared" si="2"/>
        <v>84 REQUEST MORE TEXT FIELDS - SEND MAGAZINE INFO</v>
      </c>
      <c r="B31" t="s">
        <v>198</v>
      </c>
      <c r="C31" s="7" t="str">
        <f t="shared" si="0"/>
        <v>10</v>
      </c>
      <c r="D31" s="8" t="s">
        <v>109</v>
      </c>
      <c r="E31" s="7" t="str">
        <f t="shared" si="1"/>
        <v>31</v>
      </c>
      <c r="G31" s="16" t="s">
        <v>268</v>
      </c>
      <c r="H31" s="14" t="s">
        <v>307</v>
      </c>
    </row>
    <row r="32" spans="1:8" x14ac:dyDescent="0.25">
      <c r="A32" s="9" t="str">
        <f t="shared" si="2"/>
        <v>01 MASTER REQUEST - TIME POLL</v>
      </c>
      <c r="B32" t="s">
        <v>34</v>
      </c>
      <c r="C32" s="7" t="str">
        <f t="shared" si="0"/>
        <v>10</v>
      </c>
      <c r="D32" s="8" t="s">
        <v>109</v>
      </c>
      <c r="E32" s="7" t="str">
        <f t="shared" si="1"/>
        <v>31</v>
      </c>
      <c r="G32" s="16" t="s">
        <v>269</v>
      </c>
      <c r="H32" s="14" t="s">
        <v>270</v>
      </c>
    </row>
    <row r="33" spans="1:8" x14ac:dyDescent="0.25">
      <c r="A33" s="9" t="str">
        <f t="shared" si="2"/>
        <v>00 STATUS - CHANGING CD</v>
      </c>
      <c r="B33" t="s">
        <v>199</v>
      </c>
      <c r="C33" s="7" t="str">
        <f t="shared" si="0"/>
        <v>31</v>
      </c>
      <c r="D33" s="8" t="s">
        <v>109</v>
      </c>
      <c r="E33" s="7" t="str">
        <f t="shared" si="1"/>
        <v>10</v>
      </c>
      <c r="G33" s="16" t="s">
        <v>271</v>
      </c>
      <c r="H33" s="14" t="s">
        <v>272</v>
      </c>
    </row>
    <row r="34" spans="1:8" x14ac:dyDescent="0.25">
      <c r="A34" s="9" t="str">
        <f t="shared" si="2"/>
        <v>84 REQUEST MORE TEXT FIELDS - SEND DISC INFO</v>
      </c>
      <c r="B34" t="s">
        <v>200</v>
      </c>
      <c r="C34" s="7" t="str">
        <f t="shared" si="0"/>
        <v>10</v>
      </c>
      <c r="D34" s="8" t="s">
        <v>109</v>
      </c>
      <c r="E34" s="7" t="str">
        <f t="shared" si="1"/>
        <v>31</v>
      </c>
      <c r="G34" s="16" t="s">
        <v>273</v>
      </c>
      <c r="H34" s="14" t="s">
        <v>308</v>
      </c>
    </row>
    <row r="35" spans="1:8" x14ac:dyDescent="0.25">
      <c r="A35" s="9" t="str">
        <f t="shared" si="2"/>
        <v>01 MASTER REQUEST - SLAVE POLL</v>
      </c>
      <c r="B35" t="s">
        <v>18</v>
      </c>
      <c r="C35" s="7" t="str">
        <f t="shared" si="0"/>
        <v>10</v>
      </c>
      <c r="D35" s="8" t="s">
        <v>109</v>
      </c>
      <c r="E35" s="7" t="str">
        <f t="shared" si="1"/>
        <v>31</v>
      </c>
      <c r="G35" s="16" t="s">
        <v>274</v>
      </c>
      <c r="H35" s="14" t="s">
        <v>309</v>
      </c>
    </row>
    <row r="36" spans="1:8" x14ac:dyDescent="0.25">
      <c r="A36" s="9" t="str">
        <f t="shared" si="2"/>
        <v>95 MAGAZINE INFO - CD1 NO, CD2 NO, CD3 NO, CD4 NO, CD5 NO, CD6 NO</v>
      </c>
      <c r="B36" t="s">
        <v>201</v>
      </c>
      <c r="C36" s="7" t="str">
        <f t="shared" si="0"/>
        <v>31</v>
      </c>
      <c r="D36" s="8" t="s">
        <v>109</v>
      </c>
      <c r="E36" s="7" t="str">
        <f t="shared" si="1"/>
        <v>10</v>
      </c>
      <c r="G36" s="16" t="s">
        <v>275</v>
      </c>
      <c r="H36" s="14" t="s">
        <v>310</v>
      </c>
    </row>
    <row r="37" spans="1:8" x14ac:dyDescent="0.25">
      <c r="A37" s="9" t="str">
        <f t="shared" si="2"/>
        <v>01 MASTER REQUEST - SLAVE POLL</v>
      </c>
      <c r="B37" t="s">
        <v>18</v>
      </c>
      <c r="C37" s="7" t="str">
        <f t="shared" si="0"/>
        <v>10</v>
      </c>
      <c r="D37" s="8" t="s">
        <v>109</v>
      </c>
      <c r="E37" s="7" t="str">
        <f t="shared" si="1"/>
        <v>31</v>
      </c>
      <c r="G37" s="16" t="s">
        <v>276</v>
      </c>
      <c r="H37" s="14" t="s">
        <v>311</v>
      </c>
    </row>
    <row r="38" spans="1:8" x14ac:dyDescent="0.25">
      <c r="A38" s="9" t="str">
        <f t="shared" si="2"/>
        <v>97 DISC INFO - TRACKS: 99, MINS: 00, SECS: 00, DISC: 1</v>
      </c>
      <c r="B38" t="s">
        <v>203</v>
      </c>
      <c r="C38" s="7" t="str">
        <f t="shared" si="0"/>
        <v>31</v>
      </c>
      <c r="D38" s="8" t="s">
        <v>109</v>
      </c>
      <c r="E38" s="7" t="str">
        <f t="shared" si="1"/>
        <v>10</v>
      </c>
      <c r="G38" s="16" t="s">
        <v>277</v>
      </c>
      <c r="H38" s="14" t="s">
        <v>278</v>
      </c>
    </row>
    <row r="39" spans="1:8" x14ac:dyDescent="0.25">
      <c r="A39" s="9" t="str">
        <f t="shared" si="2"/>
        <v>01 MASTER REQUEST - SLAVE POLL</v>
      </c>
      <c r="B39" t="s">
        <v>18</v>
      </c>
      <c r="C39" s="7" t="str">
        <f t="shared" si="0"/>
        <v>10</v>
      </c>
      <c r="D39" s="8" t="s">
        <v>109</v>
      </c>
      <c r="E39" s="7" t="str">
        <f t="shared" si="1"/>
        <v>31</v>
      </c>
      <c r="G39" s="16" t="s">
        <v>279</v>
      </c>
      <c r="H39" s="14" t="s">
        <v>312</v>
      </c>
    </row>
    <row r="40" spans="1:8" x14ac:dyDescent="0.25">
      <c r="A40" s="9" t="str">
        <f t="shared" si="2"/>
        <v>84 REQUEST MORE TEXT FIELDS - SEND MAGAZINE INFO</v>
      </c>
      <c r="B40" t="s">
        <v>198</v>
      </c>
      <c r="C40" s="7" t="str">
        <f t="shared" si="0"/>
        <v>10</v>
      </c>
      <c r="D40" s="8" t="s">
        <v>109</v>
      </c>
      <c r="E40" s="7" t="str">
        <f t="shared" si="1"/>
        <v>31</v>
      </c>
      <c r="G40" s="16" t="s">
        <v>280</v>
      </c>
      <c r="H40" s="14" t="s">
        <v>188</v>
      </c>
    </row>
    <row r="41" spans="1:8" x14ac:dyDescent="0.25">
      <c r="A41" s="9" t="str">
        <f t="shared" si="2"/>
        <v>00 STATUS - CHANGED CD</v>
      </c>
      <c r="B41" t="s">
        <v>204</v>
      </c>
      <c r="C41" s="7" t="str">
        <f t="shared" si="0"/>
        <v>31</v>
      </c>
      <c r="D41" s="8" t="s">
        <v>109</v>
      </c>
      <c r="E41" s="7" t="str">
        <f t="shared" si="1"/>
        <v>10</v>
      </c>
      <c r="G41" s="16" t="s">
        <v>281</v>
      </c>
      <c r="H41" s="14" t="s">
        <v>282</v>
      </c>
    </row>
    <row r="42" spans="1:8" x14ac:dyDescent="0.25">
      <c r="A42" s="9" t="str">
        <f t="shared" si="2"/>
        <v>84 REQUEST MORE TEXT FIELDS - SEND DISC INFO</v>
      </c>
      <c r="B42" t="s">
        <v>200</v>
      </c>
      <c r="C42" s="7" t="str">
        <f t="shared" si="0"/>
        <v>10</v>
      </c>
      <c r="D42" s="8" t="s">
        <v>109</v>
      </c>
      <c r="E42" s="7" t="str">
        <f t="shared" si="1"/>
        <v>31</v>
      </c>
      <c r="G42" s="16" t="s">
        <v>283</v>
      </c>
      <c r="H42" s="14" t="s">
        <v>284</v>
      </c>
    </row>
    <row r="43" spans="1:8" ht="15.75" thickBot="1" x14ac:dyDescent="0.3">
      <c r="A43" s="9" t="str">
        <f t="shared" si="2"/>
        <v>08 KEY RELEASED</v>
      </c>
      <c r="B43" t="s">
        <v>205</v>
      </c>
      <c r="C43" s="7" t="str">
        <f t="shared" si="0"/>
        <v>11</v>
      </c>
      <c r="D43" s="8" t="s">
        <v>109</v>
      </c>
      <c r="E43" s="7" t="str">
        <f t="shared" si="1"/>
        <v>18</v>
      </c>
      <c r="G43" s="17" t="s">
        <v>285</v>
      </c>
      <c r="H43" s="15" t="s">
        <v>286</v>
      </c>
    </row>
    <row r="44" spans="1:8" x14ac:dyDescent="0.25">
      <c r="A44" s="9" t="str">
        <f t="shared" si="2"/>
        <v>01 MASTER REQUEST - SLAVE POLL</v>
      </c>
      <c r="B44" t="s">
        <v>18</v>
      </c>
      <c r="C44" s="7" t="str">
        <f t="shared" si="0"/>
        <v>10</v>
      </c>
      <c r="D44" s="8" t="s">
        <v>109</v>
      </c>
      <c r="E44" s="7" t="str">
        <f t="shared" si="1"/>
        <v>31</v>
      </c>
    </row>
    <row r="45" spans="1:8" x14ac:dyDescent="0.25">
      <c r="A45" s="9" t="str">
        <f t="shared" si="2"/>
        <v>95 MAGAZINE INFO - CD1 NO, CD2 NO, CD3 NO, CD4 NO, CD5 NO, CD6 NO</v>
      </c>
      <c r="B45" t="s">
        <v>201</v>
      </c>
      <c r="C45" s="7" t="str">
        <f t="shared" si="0"/>
        <v>31</v>
      </c>
      <c r="D45" s="8" t="s">
        <v>109</v>
      </c>
      <c r="E45" s="7" t="str">
        <f t="shared" si="1"/>
        <v>10</v>
      </c>
    </row>
    <row r="46" spans="1:8" x14ac:dyDescent="0.25">
      <c r="A46" s="9" t="str">
        <f t="shared" si="2"/>
        <v>84 REQUEST MORE TEXT FIELDS - SEND MAGAZINE INFO</v>
      </c>
      <c r="B46" t="s">
        <v>198</v>
      </c>
      <c r="C46" s="7" t="str">
        <f t="shared" si="0"/>
        <v>10</v>
      </c>
      <c r="D46" s="8" t="s">
        <v>109</v>
      </c>
      <c r="E46" s="7" t="str">
        <f t="shared" si="1"/>
        <v>31</v>
      </c>
    </row>
    <row r="47" spans="1:8" x14ac:dyDescent="0.25">
      <c r="A47" s="9" t="str">
        <f t="shared" si="2"/>
        <v>01 MASTER REQUEST - TIME POLL</v>
      </c>
      <c r="B47" t="s">
        <v>34</v>
      </c>
      <c r="C47" s="7" t="str">
        <f t="shared" si="0"/>
        <v>10</v>
      </c>
      <c r="D47" s="8" t="s">
        <v>109</v>
      </c>
      <c r="E47" s="7" t="str">
        <f t="shared" si="1"/>
        <v>31</v>
      </c>
    </row>
    <row r="48" spans="1:8" x14ac:dyDescent="0.25">
      <c r="A48" s="9" t="str">
        <f t="shared" si="2"/>
        <v>00 STATUS - IDLE</v>
      </c>
      <c r="B48" t="s">
        <v>206</v>
      </c>
      <c r="C48" s="7" t="str">
        <f t="shared" si="0"/>
        <v>31</v>
      </c>
      <c r="D48" s="8" t="s">
        <v>109</v>
      </c>
      <c r="E48" s="7" t="str">
        <f t="shared" si="1"/>
        <v>10</v>
      </c>
    </row>
    <row r="49" spans="1:5" x14ac:dyDescent="0.25">
      <c r="A49" s="9" t="str">
        <f t="shared" si="2"/>
        <v>84 REQUEST MORE TEXT FIELDS - SEND DISC INFO</v>
      </c>
      <c r="B49" t="s">
        <v>200</v>
      </c>
      <c r="C49" s="7" t="str">
        <f t="shared" si="0"/>
        <v>10</v>
      </c>
      <c r="D49" s="8" t="s">
        <v>109</v>
      </c>
      <c r="E49" s="7" t="str">
        <f t="shared" si="1"/>
        <v>31</v>
      </c>
    </row>
    <row r="50" spans="1:5" x14ac:dyDescent="0.25">
      <c r="A50" s="9" t="str">
        <f t="shared" si="2"/>
        <v>01 MASTER REQUEST - SLAVE POLL</v>
      </c>
      <c r="B50" t="s">
        <v>18</v>
      </c>
      <c r="C50" s="7" t="str">
        <f t="shared" si="0"/>
        <v>10</v>
      </c>
      <c r="D50" s="8" t="s">
        <v>109</v>
      </c>
      <c r="E50" s="7" t="str">
        <f t="shared" si="1"/>
        <v>31</v>
      </c>
    </row>
    <row r="51" spans="1:5" x14ac:dyDescent="0.25">
      <c r="A51" s="9" t="str">
        <f t="shared" si="2"/>
        <v>95 MAGAZINE INFO - CD1 NO, CD2 NO, CD3 NO, CD4 NO, CD5 NO, CD6 NO</v>
      </c>
      <c r="B51" t="s">
        <v>201</v>
      </c>
      <c r="C51" s="7" t="str">
        <f t="shared" si="0"/>
        <v>31</v>
      </c>
      <c r="D51" s="8" t="s">
        <v>109</v>
      </c>
      <c r="E51" s="7" t="str">
        <f t="shared" si="1"/>
        <v>10</v>
      </c>
    </row>
    <row r="52" spans="1:5" x14ac:dyDescent="0.25">
      <c r="A52" s="9" t="str">
        <f t="shared" si="2"/>
        <v>01 MASTER REQUEST - SLAVE POLL</v>
      </c>
      <c r="B52" t="s">
        <v>18</v>
      </c>
      <c r="C52" s="7" t="str">
        <f t="shared" si="0"/>
        <v>10</v>
      </c>
      <c r="D52" s="8" t="s">
        <v>109</v>
      </c>
      <c r="E52" s="7" t="str">
        <f t="shared" si="1"/>
        <v>31</v>
      </c>
    </row>
    <row r="53" spans="1:5" x14ac:dyDescent="0.25">
      <c r="A53" s="9" t="str">
        <f t="shared" si="2"/>
        <v>97 DISC INFO - TRACKS: 99, MINS: 00, SECS: 00, DISC: 1</v>
      </c>
      <c r="B53" t="s">
        <v>203</v>
      </c>
      <c r="C53" s="7" t="str">
        <f t="shared" si="0"/>
        <v>31</v>
      </c>
      <c r="D53" s="8" t="s">
        <v>109</v>
      </c>
      <c r="E53" s="7" t="str">
        <f t="shared" si="1"/>
        <v>10</v>
      </c>
    </row>
    <row r="54" spans="1:5" x14ac:dyDescent="0.25">
      <c r="A54" s="9" t="str">
        <f t="shared" si="2"/>
        <v>01 MASTER REQUEST - TIME POLL</v>
      </c>
      <c r="B54" t="s">
        <v>34</v>
      </c>
      <c r="C54" s="7" t="str">
        <f t="shared" si="0"/>
        <v>10</v>
      </c>
      <c r="D54" s="8" t="s">
        <v>109</v>
      </c>
      <c r="E54" s="7" t="str">
        <f t="shared" si="1"/>
        <v>31</v>
      </c>
    </row>
    <row r="55" spans="1:5" x14ac:dyDescent="0.25">
      <c r="A55" s="9" t="str">
        <f t="shared" si="2"/>
        <v>00 STATUS - IDLE</v>
      </c>
      <c r="B55" t="s">
        <v>206</v>
      </c>
      <c r="C55" s="7" t="str">
        <f t="shared" si="0"/>
        <v>31</v>
      </c>
      <c r="D55" s="8" t="s">
        <v>109</v>
      </c>
      <c r="E55" s="7" t="str">
        <f t="shared" si="1"/>
        <v>10</v>
      </c>
    </row>
    <row r="56" spans="1:5" x14ac:dyDescent="0.25">
      <c r="A56" s="9" t="str">
        <f t="shared" si="2"/>
        <v>84 REQUEST MORE TEXT FIELDS - SEND DISC INFO</v>
      </c>
      <c r="B56" t="s">
        <v>200</v>
      </c>
      <c r="C56" s="7" t="str">
        <f t="shared" si="0"/>
        <v>10</v>
      </c>
      <c r="D56" s="8" t="s">
        <v>109</v>
      </c>
      <c r="E56" s="7" t="str">
        <f t="shared" si="1"/>
        <v>31</v>
      </c>
    </row>
    <row r="57" spans="1:5" x14ac:dyDescent="0.25">
      <c r="A57" s="9" t="str">
        <f t="shared" si="2"/>
        <v>01 MASTER REQUEST - SLAVE POLL</v>
      </c>
      <c r="B57" t="s">
        <v>18</v>
      </c>
      <c r="C57" s="7" t="str">
        <f t="shared" si="0"/>
        <v>10</v>
      </c>
      <c r="D57" s="8" t="s">
        <v>109</v>
      </c>
      <c r="E57" s="7" t="str">
        <f t="shared" si="1"/>
        <v>31</v>
      </c>
    </row>
    <row r="58" spans="1:5" x14ac:dyDescent="0.25">
      <c r="A58" s="9" t="str">
        <f t="shared" si="2"/>
        <v>95 MAGAZINE INFO - CD1 NO, CD2 NO, CD3 NO, CD4 NO, CD5 NO, CD6 NO</v>
      </c>
      <c r="B58" t="s">
        <v>201</v>
      </c>
      <c r="C58" s="7" t="str">
        <f t="shared" si="0"/>
        <v>31</v>
      </c>
      <c r="D58" s="8" t="s">
        <v>109</v>
      </c>
      <c r="E58" s="7" t="str">
        <f t="shared" si="1"/>
        <v>10</v>
      </c>
    </row>
    <row r="59" spans="1:5" x14ac:dyDescent="0.25">
      <c r="A59" s="9" t="str">
        <f t="shared" si="2"/>
        <v>01 MASTER REQUEST - SLAVE POLL</v>
      </c>
      <c r="B59" t="s">
        <v>18</v>
      </c>
      <c r="C59" s="7" t="str">
        <f t="shared" si="0"/>
        <v>10</v>
      </c>
      <c r="D59" s="8" t="s">
        <v>109</v>
      </c>
      <c r="E59" s="7" t="str">
        <f t="shared" si="1"/>
        <v>31</v>
      </c>
    </row>
    <row r="60" spans="1:5" x14ac:dyDescent="0.25">
      <c r="A60" s="9" t="str">
        <f t="shared" si="2"/>
        <v>97 DISC INFO - TRACKS: 99, MINS: 00, SECS: 00, DISC: 1</v>
      </c>
      <c r="B60" t="s">
        <v>203</v>
      </c>
      <c r="C60" s="7" t="str">
        <f t="shared" si="0"/>
        <v>31</v>
      </c>
      <c r="D60" s="8" t="s">
        <v>109</v>
      </c>
      <c r="E60" s="7" t="str">
        <f t="shared" si="1"/>
        <v>10</v>
      </c>
    </row>
    <row r="61" spans="1:5" x14ac:dyDescent="0.25">
      <c r="A61" s="9" t="str">
        <f t="shared" si="2"/>
        <v>84 REQUEST MORE TEXT FIELDS - SEND MAGAZINE INFO</v>
      </c>
      <c r="B61" t="s">
        <v>198</v>
      </c>
      <c r="C61" s="7" t="str">
        <f t="shared" si="0"/>
        <v>10</v>
      </c>
      <c r="D61" s="8" t="s">
        <v>109</v>
      </c>
      <c r="E61" s="7" t="str">
        <f t="shared" si="1"/>
        <v>31</v>
      </c>
    </row>
    <row r="62" spans="1:5" x14ac:dyDescent="0.25">
      <c r="A62" s="9" t="str">
        <f t="shared" si="2"/>
        <v>01 MASTER REQUEST - TIME POLL</v>
      </c>
      <c r="B62" t="s">
        <v>34</v>
      </c>
      <c r="C62" s="7" t="str">
        <f t="shared" si="0"/>
        <v>10</v>
      </c>
      <c r="D62" s="8" t="s">
        <v>109</v>
      </c>
      <c r="E62" s="7" t="str">
        <f t="shared" si="1"/>
        <v>31</v>
      </c>
    </row>
    <row r="63" spans="1:5" x14ac:dyDescent="0.25">
      <c r="A63" s="9" t="str">
        <f t="shared" si="2"/>
        <v>00 STATUS - IDLE</v>
      </c>
      <c r="B63" t="s">
        <v>206</v>
      </c>
      <c r="C63" s="7" t="str">
        <f t="shared" si="0"/>
        <v>31</v>
      </c>
      <c r="D63" s="8" t="s">
        <v>109</v>
      </c>
      <c r="E63" s="7" t="str">
        <f t="shared" si="1"/>
        <v>10</v>
      </c>
    </row>
    <row r="64" spans="1:5" x14ac:dyDescent="0.25">
      <c r="A64" s="9" t="str">
        <f t="shared" si="2"/>
        <v>84 REQUEST MORE TEXT FIELDS - SEND DISC INFO</v>
      </c>
      <c r="B64" t="s">
        <v>200</v>
      </c>
      <c r="C64" s="7" t="str">
        <f t="shared" si="0"/>
        <v>10</v>
      </c>
      <c r="D64" s="8" t="s">
        <v>109</v>
      </c>
      <c r="E64" s="7" t="str">
        <f t="shared" si="1"/>
        <v>31</v>
      </c>
    </row>
    <row r="65" spans="1:5" x14ac:dyDescent="0.25">
      <c r="A65" s="9" t="str">
        <f t="shared" si="2"/>
        <v>95 MAGAZINE INFO - CD1 NO, CD2 NO, CD3 NO, CD4 NO, CD5 NO, CD6 NO</v>
      </c>
      <c r="B65" t="s">
        <v>201</v>
      </c>
      <c r="C65" s="7" t="str">
        <f t="shared" si="0"/>
        <v>31</v>
      </c>
      <c r="D65" s="8" t="s">
        <v>109</v>
      </c>
      <c r="E65" s="7" t="str">
        <f t="shared" si="1"/>
        <v>10</v>
      </c>
    </row>
    <row r="66" spans="1:5" x14ac:dyDescent="0.25">
      <c r="A66" s="9" t="str">
        <f t="shared" si="2"/>
        <v>01 MASTER REQUEST - SLAVE POLL</v>
      </c>
      <c r="B66" t="s">
        <v>18</v>
      </c>
      <c r="C66" s="7" t="str">
        <f t="shared" ref="C66:C129" si="3">MID(B66,4,2)</f>
        <v>10</v>
      </c>
      <c r="D66" s="8" t="s">
        <v>109</v>
      </c>
      <c r="E66" s="7" t="str">
        <f t="shared" ref="E66:E129" si="4">MID(B66,1,2)</f>
        <v>31</v>
      </c>
    </row>
    <row r="67" spans="1:5" x14ac:dyDescent="0.25">
      <c r="A67" s="9" t="str">
        <f t="shared" ref="A67:A130" si="5">ParseUnilink(B67)</f>
        <v>97 DISC INFO - TRACKS: 99, MINS: 00, SECS: 00, DISC: 1</v>
      </c>
      <c r="B67" t="s">
        <v>203</v>
      </c>
      <c r="C67" s="7" t="str">
        <f t="shared" si="3"/>
        <v>31</v>
      </c>
      <c r="D67" s="8" t="s">
        <v>109</v>
      </c>
      <c r="E67" s="7" t="str">
        <f t="shared" si="4"/>
        <v>10</v>
      </c>
    </row>
    <row r="68" spans="1:5" x14ac:dyDescent="0.25">
      <c r="A68" s="9" t="str">
        <f t="shared" si="5"/>
        <v>84 REQUEST MORE TEXT FIELDS - SEND MAGAZINE INFO</v>
      </c>
      <c r="B68" t="s">
        <v>198</v>
      </c>
      <c r="C68" s="7" t="str">
        <f t="shared" si="3"/>
        <v>10</v>
      </c>
      <c r="D68" s="8" t="s">
        <v>109</v>
      </c>
      <c r="E68" s="7" t="str">
        <f t="shared" si="4"/>
        <v>31</v>
      </c>
    </row>
    <row r="69" spans="1:5" x14ac:dyDescent="0.25">
      <c r="A69" s="9" t="str">
        <f t="shared" si="5"/>
        <v>01 MASTER REQUEST - TIME POLL</v>
      </c>
      <c r="B69" t="s">
        <v>34</v>
      </c>
      <c r="C69" s="7" t="str">
        <f t="shared" si="3"/>
        <v>10</v>
      </c>
      <c r="D69" s="8" t="s">
        <v>109</v>
      </c>
      <c r="E69" s="7" t="str">
        <f t="shared" si="4"/>
        <v>31</v>
      </c>
    </row>
    <row r="70" spans="1:5" x14ac:dyDescent="0.25">
      <c r="A70" s="9" t="str">
        <f t="shared" si="5"/>
        <v>00 STATUS - IDLE</v>
      </c>
      <c r="B70" t="s">
        <v>206</v>
      </c>
      <c r="C70" s="7" t="str">
        <f t="shared" si="3"/>
        <v>31</v>
      </c>
      <c r="D70" s="8" t="s">
        <v>109</v>
      </c>
      <c r="E70" s="7" t="str">
        <f t="shared" si="4"/>
        <v>10</v>
      </c>
    </row>
    <row r="71" spans="1:5" x14ac:dyDescent="0.25">
      <c r="A71" s="9" t="str">
        <f t="shared" si="5"/>
        <v>84 REQUEST MORE TEXT FIELDS - SEND DISC INFO</v>
      </c>
      <c r="B71" t="s">
        <v>200</v>
      </c>
      <c r="C71" s="7" t="str">
        <f t="shared" si="3"/>
        <v>10</v>
      </c>
      <c r="D71" s="8" t="s">
        <v>109</v>
      </c>
      <c r="E71" s="7" t="str">
        <f t="shared" si="4"/>
        <v>31</v>
      </c>
    </row>
    <row r="72" spans="1:5" x14ac:dyDescent="0.25">
      <c r="A72" s="9" t="str">
        <f t="shared" si="5"/>
        <v>01 MASTER REQUEST - SLAVE POLL</v>
      </c>
      <c r="B72" t="s">
        <v>18</v>
      </c>
      <c r="C72" s="7" t="str">
        <f t="shared" si="3"/>
        <v>10</v>
      </c>
      <c r="D72" s="8" t="s">
        <v>109</v>
      </c>
      <c r="E72" s="7" t="str">
        <f t="shared" si="4"/>
        <v>31</v>
      </c>
    </row>
    <row r="73" spans="1:5" x14ac:dyDescent="0.25">
      <c r="A73" s="9" t="str">
        <f t="shared" si="5"/>
        <v>95 MAGAZINE INFO - CD1 NO, CD2 NO, CD3 NO, CD4 NO, CD5 NO, CD6 NO</v>
      </c>
      <c r="B73" t="s">
        <v>201</v>
      </c>
      <c r="C73" s="7" t="str">
        <f t="shared" si="3"/>
        <v>31</v>
      </c>
      <c r="D73" s="8" t="s">
        <v>109</v>
      </c>
      <c r="E73" s="7" t="str">
        <f t="shared" si="4"/>
        <v>10</v>
      </c>
    </row>
    <row r="74" spans="1:5" x14ac:dyDescent="0.25">
      <c r="A74" s="9" t="str">
        <f t="shared" si="5"/>
        <v>01 MASTER REQUEST - SLAVE POLL</v>
      </c>
      <c r="B74" t="s">
        <v>18</v>
      </c>
      <c r="C74" s="7" t="str">
        <f t="shared" si="3"/>
        <v>10</v>
      </c>
      <c r="D74" s="8" t="s">
        <v>109</v>
      </c>
      <c r="E74" s="7" t="str">
        <f t="shared" si="4"/>
        <v>31</v>
      </c>
    </row>
    <row r="75" spans="1:5" x14ac:dyDescent="0.25">
      <c r="A75" s="9" t="str">
        <f t="shared" si="5"/>
        <v>97 DISC INFO - TRACKS: 16, MINS: 79, SECS: 36, DISC: 1</v>
      </c>
      <c r="B75" t="s">
        <v>207</v>
      </c>
      <c r="C75" s="7" t="str">
        <f t="shared" si="3"/>
        <v>31</v>
      </c>
      <c r="D75" s="8" t="s">
        <v>109</v>
      </c>
      <c r="E75" s="7" t="str">
        <f t="shared" si="4"/>
        <v>10</v>
      </c>
    </row>
    <row r="76" spans="1:5" x14ac:dyDescent="0.25">
      <c r="A76" s="9" t="str">
        <f t="shared" si="5"/>
        <v>95 MAGAZINE INFO - CD1 YES, CD2 NO, CD3 NO, CD4 NO, CD5 NO, CD6 NO</v>
      </c>
      <c r="B76" t="s">
        <v>208</v>
      </c>
      <c r="C76" s="7" t="str">
        <f t="shared" si="3"/>
        <v>31</v>
      </c>
      <c r="D76" s="8" t="s">
        <v>109</v>
      </c>
      <c r="E76" s="7" t="str">
        <f t="shared" si="4"/>
        <v>77</v>
      </c>
    </row>
    <row r="77" spans="1:5" x14ac:dyDescent="0.25">
      <c r="A77" s="9" t="str">
        <f t="shared" si="5"/>
        <v>01 MASTER REQUEST - SLAVE POLL</v>
      </c>
      <c r="B77" t="s">
        <v>18</v>
      </c>
      <c r="C77" s="7" t="str">
        <f t="shared" si="3"/>
        <v>10</v>
      </c>
      <c r="D77" s="8" t="s">
        <v>109</v>
      </c>
      <c r="E77" s="7" t="str">
        <f t="shared" si="4"/>
        <v>31</v>
      </c>
    </row>
    <row r="78" spans="1:5" x14ac:dyDescent="0.25">
      <c r="A78" s="9" t="str">
        <f t="shared" si="5"/>
        <v>00 STATUS - IDLE</v>
      </c>
      <c r="B78" t="s">
        <v>206</v>
      </c>
      <c r="C78" s="7" t="str">
        <f t="shared" si="3"/>
        <v>31</v>
      </c>
      <c r="D78" s="8" t="s">
        <v>109</v>
      </c>
      <c r="E78" s="7" t="str">
        <f t="shared" si="4"/>
        <v>10</v>
      </c>
    </row>
    <row r="79" spans="1:5" x14ac:dyDescent="0.25">
      <c r="A79" s="9" t="str">
        <f t="shared" si="5"/>
        <v>84 REQUEST MORE TEXT FIELDS - SEND MAGAZINE INFO</v>
      </c>
      <c r="B79" t="s">
        <v>198</v>
      </c>
      <c r="C79" s="7" t="str">
        <f t="shared" si="3"/>
        <v>10</v>
      </c>
      <c r="D79" s="8" t="s">
        <v>109</v>
      </c>
      <c r="E79" s="7" t="str">
        <f t="shared" si="4"/>
        <v>31</v>
      </c>
    </row>
    <row r="80" spans="1:5" x14ac:dyDescent="0.25">
      <c r="A80" s="9" t="str">
        <f t="shared" si="5"/>
        <v>01 MASTER REQUEST - TIME POLL</v>
      </c>
      <c r="B80" t="s">
        <v>34</v>
      </c>
      <c r="C80" s="7" t="str">
        <f t="shared" si="3"/>
        <v>10</v>
      </c>
      <c r="D80" s="8" t="s">
        <v>109</v>
      </c>
      <c r="E80" s="7" t="str">
        <f t="shared" si="4"/>
        <v>31</v>
      </c>
    </row>
    <row r="81" spans="1:5" x14ac:dyDescent="0.25">
      <c r="A81" s="9" t="str">
        <f t="shared" si="5"/>
        <v>00 STATUS - IDLE</v>
      </c>
      <c r="B81" t="s">
        <v>206</v>
      </c>
      <c r="C81" s="7" t="str">
        <f t="shared" si="3"/>
        <v>31</v>
      </c>
      <c r="D81" s="8" t="s">
        <v>109</v>
      </c>
      <c r="E81" s="7" t="str">
        <f t="shared" si="4"/>
        <v>10</v>
      </c>
    </row>
    <row r="82" spans="1:5" x14ac:dyDescent="0.25">
      <c r="A82" s="9" t="str">
        <f t="shared" si="5"/>
        <v>84 REQUEST MORE TEXT FIELDS - SEND DISC INFO</v>
      </c>
      <c r="B82" t="s">
        <v>200</v>
      </c>
      <c r="C82" s="7" t="str">
        <f t="shared" si="3"/>
        <v>10</v>
      </c>
      <c r="D82" s="8" t="s">
        <v>109</v>
      </c>
      <c r="E82" s="7" t="str">
        <f t="shared" si="4"/>
        <v>31</v>
      </c>
    </row>
    <row r="83" spans="1:5" x14ac:dyDescent="0.25">
      <c r="A83" s="9" t="str">
        <f t="shared" si="5"/>
        <v>01 MASTER REQUEST - SLAVE POLL</v>
      </c>
      <c r="B83" t="s">
        <v>18</v>
      </c>
      <c r="C83" s="7" t="str">
        <f t="shared" si="3"/>
        <v>10</v>
      </c>
      <c r="D83" s="8" t="s">
        <v>109</v>
      </c>
      <c r="E83" s="7" t="str">
        <f t="shared" si="4"/>
        <v>31</v>
      </c>
    </row>
    <row r="84" spans="1:5" x14ac:dyDescent="0.25">
      <c r="A84" s="9" t="str">
        <f t="shared" si="5"/>
        <v>95 MAGAZINE INFO - CD1 YES, CD2 NO, CD3 NO, CD4 NO, CD5 NO, CD6 NO</v>
      </c>
      <c r="B84" t="s">
        <v>209</v>
      </c>
      <c r="C84" s="7" t="str">
        <f t="shared" si="3"/>
        <v>31</v>
      </c>
      <c r="D84" s="8" t="s">
        <v>109</v>
      </c>
      <c r="E84" s="7" t="str">
        <f t="shared" si="4"/>
        <v>10</v>
      </c>
    </row>
    <row r="85" spans="1:5" x14ac:dyDescent="0.25">
      <c r="A85" s="9" t="str">
        <f t="shared" si="5"/>
        <v>01 MASTER REQUEST - SLAVE POLL</v>
      </c>
      <c r="B85" t="s">
        <v>18</v>
      </c>
      <c r="C85" s="7" t="str">
        <f t="shared" si="3"/>
        <v>10</v>
      </c>
      <c r="D85" s="8" t="s">
        <v>109</v>
      </c>
      <c r="E85" s="7" t="str">
        <f t="shared" si="4"/>
        <v>31</v>
      </c>
    </row>
    <row r="86" spans="1:5" x14ac:dyDescent="0.25">
      <c r="A86" s="9" t="str">
        <f t="shared" si="5"/>
        <v>84 REQUEST MORE TEXT FIELDS - SEND MAGAZINE INFO</v>
      </c>
      <c r="B86" t="s">
        <v>198</v>
      </c>
      <c r="C86" s="7" t="str">
        <f t="shared" si="3"/>
        <v>10</v>
      </c>
      <c r="D86" s="8" t="s">
        <v>109</v>
      </c>
      <c r="E86" s="7" t="str">
        <f t="shared" si="4"/>
        <v>31</v>
      </c>
    </row>
    <row r="87" spans="1:5" x14ac:dyDescent="0.25">
      <c r="A87" s="9" t="str">
        <f t="shared" si="5"/>
        <v>01 MASTER REQUEST - TIME POLL</v>
      </c>
      <c r="B87" t="s">
        <v>34</v>
      </c>
      <c r="C87" s="7" t="str">
        <f t="shared" si="3"/>
        <v>10</v>
      </c>
      <c r="D87" s="8" t="s">
        <v>109</v>
      </c>
      <c r="E87" s="7" t="str">
        <f t="shared" si="4"/>
        <v>31</v>
      </c>
    </row>
    <row r="88" spans="1:5" x14ac:dyDescent="0.25">
      <c r="A88" s="9" t="str">
        <f t="shared" si="5"/>
        <v>00 STATUS - IDLE</v>
      </c>
      <c r="B88" t="s">
        <v>206</v>
      </c>
      <c r="C88" s="7" t="str">
        <f t="shared" si="3"/>
        <v>31</v>
      </c>
      <c r="D88" s="8" t="s">
        <v>109</v>
      </c>
      <c r="E88" s="7" t="str">
        <f t="shared" si="4"/>
        <v>10</v>
      </c>
    </row>
    <row r="89" spans="1:5" x14ac:dyDescent="0.25">
      <c r="A89" s="9" t="str">
        <f t="shared" si="5"/>
        <v>84 REQUEST MORE TEXT FIELDS - SEND DISC INFO</v>
      </c>
      <c r="B89" t="s">
        <v>200</v>
      </c>
      <c r="C89" s="7" t="str">
        <f t="shared" si="3"/>
        <v>10</v>
      </c>
      <c r="D89" s="8" t="s">
        <v>109</v>
      </c>
      <c r="E89" s="7" t="str">
        <f t="shared" si="4"/>
        <v>31</v>
      </c>
    </row>
    <row r="90" spans="1:5" x14ac:dyDescent="0.25">
      <c r="A90" s="9" t="str">
        <f t="shared" si="5"/>
        <v>01 MASTER REQUEST - SLAVE POLL</v>
      </c>
      <c r="B90" t="s">
        <v>18</v>
      </c>
      <c r="C90" s="7" t="str">
        <f t="shared" si="3"/>
        <v>10</v>
      </c>
      <c r="D90" s="8" t="s">
        <v>109</v>
      </c>
      <c r="E90" s="7" t="str">
        <f t="shared" si="4"/>
        <v>31</v>
      </c>
    </row>
    <row r="91" spans="1:5" x14ac:dyDescent="0.25">
      <c r="A91" s="9" t="str">
        <f t="shared" si="5"/>
        <v>95 MAGAZINE INFO - CD1 YES, CD2 NO, CD3 NO, CD4 NO, CD5 NO, CD6 NO</v>
      </c>
      <c r="B91" t="s">
        <v>209</v>
      </c>
      <c r="C91" s="7" t="str">
        <f t="shared" si="3"/>
        <v>31</v>
      </c>
      <c r="D91" s="8" t="s">
        <v>109</v>
      </c>
      <c r="E91" s="7" t="str">
        <f t="shared" si="4"/>
        <v>10</v>
      </c>
    </row>
    <row r="92" spans="1:5" x14ac:dyDescent="0.25">
      <c r="A92" s="9" t="str">
        <f t="shared" si="5"/>
        <v>01 MASTER REQUEST - SLAVE POLL</v>
      </c>
      <c r="B92" t="s">
        <v>18</v>
      </c>
      <c r="C92" s="7" t="str">
        <f t="shared" si="3"/>
        <v>10</v>
      </c>
      <c r="D92" s="8" t="s">
        <v>109</v>
      </c>
      <c r="E92" s="7" t="str">
        <f t="shared" si="4"/>
        <v>31</v>
      </c>
    </row>
    <row r="93" spans="1:5" x14ac:dyDescent="0.25">
      <c r="A93" s="9" t="str">
        <f t="shared" si="5"/>
        <v>97 DISC INFO - TRACKS: 16, MINS: 79, SECS: 36, DISC: 2</v>
      </c>
      <c r="B93" t="s">
        <v>210</v>
      </c>
      <c r="C93" s="7" t="str">
        <f t="shared" si="3"/>
        <v>31</v>
      </c>
      <c r="D93" s="8" t="s">
        <v>109</v>
      </c>
      <c r="E93" s="7" t="str">
        <f t="shared" si="4"/>
        <v>10</v>
      </c>
    </row>
    <row r="94" spans="1:5" x14ac:dyDescent="0.25">
      <c r="A94" s="9" t="str">
        <f t="shared" si="5"/>
        <v>01 MASTER REQUEST - TIME POLL</v>
      </c>
      <c r="B94" t="s">
        <v>34</v>
      </c>
      <c r="C94" s="7" t="str">
        <f t="shared" si="3"/>
        <v>10</v>
      </c>
      <c r="D94" s="8" t="s">
        <v>109</v>
      </c>
      <c r="E94" s="7" t="str">
        <f t="shared" si="4"/>
        <v>31</v>
      </c>
    </row>
    <row r="95" spans="1:5" x14ac:dyDescent="0.25">
      <c r="A95" s="9" t="str">
        <f t="shared" si="5"/>
        <v>84 REQUEST MORE TEXT FIELDS - SEND DISC INFO</v>
      </c>
      <c r="B95" t="s">
        <v>200</v>
      </c>
      <c r="C95" s="7" t="str">
        <f t="shared" si="3"/>
        <v>10</v>
      </c>
      <c r="D95" s="8" t="s">
        <v>109</v>
      </c>
      <c r="E95" s="7" t="str">
        <f t="shared" si="4"/>
        <v>31</v>
      </c>
    </row>
    <row r="96" spans="1:5" x14ac:dyDescent="0.25">
      <c r="A96" s="9" t="str">
        <f t="shared" si="5"/>
        <v>01 MASTER REQUEST - SLAVE POLL</v>
      </c>
      <c r="B96" t="s">
        <v>18</v>
      </c>
      <c r="C96" s="7" t="str">
        <f t="shared" si="3"/>
        <v>10</v>
      </c>
      <c r="D96" s="8" t="s">
        <v>109</v>
      </c>
      <c r="E96" s="7" t="str">
        <f t="shared" si="4"/>
        <v>31</v>
      </c>
    </row>
    <row r="97" spans="1:5" x14ac:dyDescent="0.25">
      <c r="A97" s="9" t="str">
        <f t="shared" si="5"/>
        <v>95 MAGAZINE INFO - CD1 YES, CD2 NO, CD3 NO, CD4 NO, CD5 NO, CD6 NO</v>
      </c>
      <c r="B97" t="s">
        <v>209</v>
      </c>
      <c r="C97" s="7" t="str">
        <f t="shared" si="3"/>
        <v>31</v>
      </c>
      <c r="D97" s="8" t="s">
        <v>109</v>
      </c>
      <c r="E97" s="7" t="str">
        <f t="shared" si="4"/>
        <v>10</v>
      </c>
    </row>
    <row r="98" spans="1:5" x14ac:dyDescent="0.25">
      <c r="A98" s="9" t="str">
        <f t="shared" si="5"/>
        <v>01 MASTER REQUEST - SLAVE POLL</v>
      </c>
      <c r="B98" t="s">
        <v>18</v>
      </c>
      <c r="C98" s="7" t="str">
        <f t="shared" si="3"/>
        <v>10</v>
      </c>
      <c r="D98" s="8" t="s">
        <v>109</v>
      </c>
      <c r="E98" s="7" t="str">
        <f t="shared" si="4"/>
        <v>31</v>
      </c>
    </row>
    <row r="99" spans="1:5" x14ac:dyDescent="0.25">
      <c r="A99" s="9" t="str">
        <f t="shared" si="5"/>
        <v>97 DISC INFO - TRACKS: 16, MINS: 79, SECS: 36, DISC: 2</v>
      </c>
      <c r="B99" t="s">
        <v>210</v>
      </c>
      <c r="C99" s="7" t="str">
        <f t="shared" si="3"/>
        <v>31</v>
      </c>
      <c r="D99" s="8" t="s">
        <v>109</v>
      </c>
      <c r="E99" s="7" t="str">
        <f t="shared" si="4"/>
        <v>10</v>
      </c>
    </row>
    <row r="100" spans="1:5" x14ac:dyDescent="0.25">
      <c r="A100" s="9" t="str">
        <f t="shared" si="5"/>
        <v>01 MASTER REQUEST - TIME POLL</v>
      </c>
      <c r="B100" t="s">
        <v>34</v>
      </c>
      <c r="C100" s="7" t="str">
        <f t="shared" si="3"/>
        <v>10</v>
      </c>
      <c r="D100" s="8" t="s">
        <v>109</v>
      </c>
      <c r="E100" s="7" t="str">
        <f t="shared" si="4"/>
        <v>31</v>
      </c>
    </row>
    <row r="101" spans="1:5" x14ac:dyDescent="0.25">
      <c r="A101" s="9" t="str">
        <f t="shared" si="5"/>
        <v>00 STATUS - IDLE</v>
      </c>
      <c r="B101" t="s">
        <v>206</v>
      </c>
      <c r="C101" s="7" t="str">
        <f t="shared" si="3"/>
        <v>31</v>
      </c>
      <c r="D101" s="8" t="s">
        <v>109</v>
      </c>
      <c r="E101" s="7" t="str">
        <f t="shared" si="4"/>
        <v>10</v>
      </c>
    </row>
    <row r="102" spans="1:5" x14ac:dyDescent="0.25">
      <c r="A102" s="9" t="str">
        <f t="shared" si="5"/>
        <v>84 REQUEST MORE TEXT FIELDS - SEND DISC INFO</v>
      </c>
      <c r="B102" t="s">
        <v>200</v>
      </c>
      <c r="C102" s="7" t="str">
        <f t="shared" si="3"/>
        <v>10</v>
      </c>
      <c r="D102" s="8" t="s">
        <v>109</v>
      </c>
      <c r="E102" s="7" t="str">
        <f t="shared" si="4"/>
        <v>31</v>
      </c>
    </row>
    <row r="103" spans="1:5" x14ac:dyDescent="0.25">
      <c r="A103" s="9" t="str">
        <f t="shared" si="5"/>
        <v>01 MASTER REQUEST - SLAVE POLL</v>
      </c>
      <c r="B103" t="s">
        <v>18</v>
      </c>
      <c r="C103" s="7" t="str">
        <f t="shared" si="3"/>
        <v>10</v>
      </c>
      <c r="D103" s="8" t="s">
        <v>109</v>
      </c>
      <c r="E103" s="7" t="str">
        <f t="shared" si="4"/>
        <v>31</v>
      </c>
    </row>
    <row r="104" spans="1:5" x14ac:dyDescent="0.25">
      <c r="A104" s="9" t="str">
        <f t="shared" si="5"/>
        <v>95 MAGAZINE INFO - CD1 YES, CD2 NO, CD3 NO, CD4 NO, CD5 NO, CD6 NO</v>
      </c>
      <c r="B104" t="s">
        <v>209</v>
      </c>
      <c r="C104" s="7" t="str">
        <f t="shared" si="3"/>
        <v>31</v>
      </c>
      <c r="D104" s="8" t="s">
        <v>109</v>
      </c>
      <c r="E104" s="7" t="str">
        <f t="shared" si="4"/>
        <v>10</v>
      </c>
    </row>
    <row r="105" spans="1:5" x14ac:dyDescent="0.25">
      <c r="A105" s="9" t="str">
        <f t="shared" si="5"/>
        <v>97 DISC INFO - TRACKS: 16, MINS: 79, SECS: 36, DISC: 2</v>
      </c>
      <c r="B105" t="s">
        <v>210</v>
      </c>
      <c r="C105" s="7" t="str">
        <f t="shared" si="3"/>
        <v>31</v>
      </c>
      <c r="D105" s="8" t="s">
        <v>109</v>
      </c>
      <c r="E105" s="7" t="str">
        <f t="shared" si="4"/>
        <v>10</v>
      </c>
    </row>
    <row r="106" spans="1:5" x14ac:dyDescent="0.25">
      <c r="A106" s="9" t="str">
        <f t="shared" si="5"/>
        <v>84 REQUEST MORE TEXT FIELDS - SEND MAGAZINE INFO</v>
      </c>
      <c r="B106" t="s">
        <v>198</v>
      </c>
      <c r="C106" s="7" t="str">
        <f t="shared" si="3"/>
        <v>10</v>
      </c>
      <c r="D106" s="8" t="s">
        <v>109</v>
      </c>
      <c r="E106" s="7" t="str">
        <f t="shared" si="4"/>
        <v>31</v>
      </c>
    </row>
    <row r="107" spans="1:5" x14ac:dyDescent="0.25">
      <c r="A107" s="9" t="str">
        <f t="shared" si="5"/>
        <v>01 MASTER REQUEST - TIME POLL</v>
      </c>
      <c r="B107" t="s">
        <v>34</v>
      </c>
      <c r="C107" s="7" t="str">
        <f t="shared" si="3"/>
        <v>10</v>
      </c>
      <c r="D107" s="8" t="s">
        <v>109</v>
      </c>
      <c r="E107" s="7" t="str">
        <f t="shared" si="4"/>
        <v>31</v>
      </c>
    </row>
    <row r="108" spans="1:5" x14ac:dyDescent="0.25">
      <c r="A108" s="9" t="str">
        <f t="shared" si="5"/>
        <v>00 STATUS - IDLE</v>
      </c>
      <c r="B108" t="s">
        <v>206</v>
      </c>
      <c r="C108" s="7" t="str">
        <f t="shared" si="3"/>
        <v>31</v>
      </c>
      <c r="D108" s="8" t="s">
        <v>109</v>
      </c>
      <c r="E108" s="7" t="str">
        <f t="shared" si="4"/>
        <v>10</v>
      </c>
    </row>
    <row r="109" spans="1:5" x14ac:dyDescent="0.25">
      <c r="A109" s="9" t="str">
        <f t="shared" si="5"/>
        <v>84 REQUEST MORE TEXT FIELDS - SEND DISC INFO</v>
      </c>
      <c r="B109" t="s">
        <v>200</v>
      </c>
      <c r="C109" s="7" t="str">
        <f t="shared" si="3"/>
        <v>10</v>
      </c>
      <c r="D109" s="8" t="s">
        <v>109</v>
      </c>
      <c r="E109" s="7" t="str">
        <f t="shared" si="4"/>
        <v>31</v>
      </c>
    </row>
    <row r="110" spans="1:5" x14ac:dyDescent="0.25">
      <c r="A110" s="9" t="str">
        <f t="shared" si="5"/>
        <v>01 MASTER REQUEST - SLAVE POLL</v>
      </c>
      <c r="B110" t="s">
        <v>18</v>
      </c>
      <c r="C110" s="7" t="str">
        <f t="shared" si="3"/>
        <v>10</v>
      </c>
      <c r="D110" s="8" t="s">
        <v>109</v>
      </c>
      <c r="E110" s="7" t="str">
        <f t="shared" si="4"/>
        <v>31</v>
      </c>
    </row>
    <row r="111" spans="1:5" x14ac:dyDescent="0.25">
      <c r="A111" s="9" t="str">
        <f t="shared" si="5"/>
        <v>01 MASTER REQUEST - SLAVE POLL</v>
      </c>
      <c r="B111" t="s">
        <v>18</v>
      </c>
      <c r="C111" s="7" t="str">
        <f t="shared" si="3"/>
        <v>10</v>
      </c>
      <c r="D111" s="8" t="s">
        <v>109</v>
      </c>
      <c r="E111" s="7" t="str">
        <f t="shared" si="4"/>
        <v>31</v>
      </c>
    </row>
    <row r="112" spans="1:5" x14ac:dyDescent="0.25">
      <c r="A112" s="9" t="str">
        <f t="shared" si="5"/>
        <v>97 DISC INFO - TRACKS: 16, MINS: 79, SECS: 36, DISC: 2</v>
      </c>
      <c r="B112" t="s">
        <v>210</v>
      </c>
      <c r="C112" s="7" t="str">
        <f t="shared" si="3"/>
        <v>31</v>
      </c>
      <c r="D112" s="8" t="s">
        <v>109</v>
      </c>
      <c r="E112" s="7" t="str">
        <f t="shared" si="4"/>
        <v>10</v>
      </c>
    </row>
    <row r="113" spans="1:5" x14ac:dyDescent="0.25">
      <c r="A113" s="9" t="str">
        <f t="shared" si="5"/>
        <v>84 REQUEST MORE TEXT FIELDS - SEND MAGAZINE INFO</v>
      </c>
      <c r="B113" t="s">
        <v>198</v>
      </c>
      <c r="C113" s="7" t="str">
        <f t="shared" si="3"/>
        <v>10</v>
      </c>
      <c r="D113" s="8" t="s">
        <v>109</v>
      </c>
      <c r="E113" s="7" t="str">
        <f t="shared" si="4"/>
        <v>31</v>
      </c>
    </row>
    <row r="114" spans="1:5" x14ac:dyDescent="0.25">
      <c r="A114" s="9" t="str">
        <f t="shared" si="5"/>
        <v>01 MASTER REQUEST - TIME POLL</v>
      </c>
      <c r="B114" t="s">
        <v>34</v>
      </c>
      <c r="C114" s="7" t="str">
        <f t="shared" si="3"/>
        <v>10</v>
      </c>
      <c r="D114" s="8" t="s">
        <v>109</v>
      </c>
      <c r="E114" s="7" t="str">
        <f t="shared" si="4"/>
        <v>31</v>
      </c>
    </row>
    <row r="115" spans="1:5" x14ac:dyDescent="0.25">
      <c r="A115" s="9" t="str">
        <f t="shared" si="5"/>
        <v>00 STATUS - IDLE</v>
      </c>
      <c r="B115" t="s">
        <v>206</v>
      </c>
      <c r="C115" s="7" t="str">
        <f t="shared" si="3"/>
        <v>31</v>
      </c>
      <c r="D115" s="8" t="s">
        <v>109</v>
      </c>
      <c r="E115" s="7" t="str">
        <f t="shared" si="4"/>
        <v>10</v>
      </c>
    </row>
    <row r="116" spans="1:5" x14ac:dyDescent="0.25">
      <c r="A116" s="9" t="str">
        <f t="shared" si="5"/>
        <v>84 REQUEST MORE TEXT FIELDS - SEND DISC INFO</v>
      </c>
      <c r="B116" t="s">
        <v>200</v>
      </c>
      <c r="C116" s="7" t="str">
        <f t="shared" si="3"/>
        <v>10</v>
      </c>
      <c r="D116" s="8" t="s">
        <v>109</v>
      </c>
      <c r="E116" s="7" t="str">
        <f t="shared" si="4"/>
        <v>31</v>
      </c>
    </row>
    <row r="117" spans="1:5" x14ac:dyDescent="0.25">
      <c r="A117" s="9" t="str">
        <f t="shared" si="5"/>
        <v>01 MASTER REQUEST - SLAVE POLL</v>
      </c>
      <c r="B117" t="s">
        <v>18</v>
      </c>
      <c r="C117" s="7" t="str">
        <f t="shared" si="3"/>
        <v>10</v>
      </c>
      <c r="D117" s="8" t="s">
        <v>109</v>
      </c>
      <c r="E117" s="7" t="str">
        <f t="shared" si="4"/>
        <v>31</v>
      </c>
    </row>
    <row r="118" spans="1:5" x14ac:dyDescent="0.25">
      <c r="A118" s="9" t="str">
        <f t="shared" si="5"/>
        <v>95 MAGAZINE INFO - CD1 YES, CD2 NO, CD3 NO, CD4 NO, CD5 NO, CD6 NO</v>
      </c>
      <c r="B118" t="s">
        <v>209</v>
      </c>
      <c r="C118" s="7" t="str">
        <f t="shared" si="3"/>
        <v>31</v>
      </c>
      <c r="D118" s="8" t="s">
        <v>109</v>
      </c>
      <c r="E118" s="7" t="str">
        <f t="shared" si="4"/>
        <v>10</v>
      </c>
    </row>
    <row r="119" spans="1:5" x14ac:dyDescent="0.25">
      <c r="A119" s="9" t="str">
        <f t="shared" si="5"/>
        <v>01 MASTER REQUEST - SLAVE POLL</v>
      </c>
      <c r="B119" t="s">
        <v>18</v>
      </c>
      <c r="C119" s="7" t="str">
        <f t="shared" si="3"/>
        <v>10</v>
      </c>
      <c r="D119" s="8" t="s">
        <v>109</v>
      </c>
      <c r="E119" s="7" t="str">
        <f t="shared" si="4"/>
        <v>31</v>
      </c>
    </row>
    <row r="120" spans="1:5" x14ac:dyDescent="0.25">
      <c r="A120" s="9" t="str">
        <f t="shared" si="5"/>
        <v>97 DISC INFO - TRACKS: 16, MINS: 79, SECS: 36, DISC: 2</v>
      </c>
      <c r="B120" t="s">
        <v>210</v>
      </c>
      <c r="C120" s="7" t="str">
        <f t="shared" si="3"/>
        <v>31</v>
      </c>
      <c r="D120" s="8" t="s">
        <v>109</v>
      </c>
      <c r="E120" s="7" t="str">
        <f t="shared" si="4"/>
        <v>10</v>
      </c>
    </row>
    <row r="121" spans="1:5" x14ac:dyDescent="0.25">
      <c r="A121" s="9" t="str">
        <f t="shared" si="5"/>
        <v>84 REQUEST MORE TEXT FIELDS - SEND MAGAZINE INFO</v>
      </c>
      <c r="B121" t="s">
        <v>198</v>
      </c>
      <c r="C121" s="7" t="str">
        <f t="shared" si="3"/>
        <v>10</v>
      </c>
      <c r="D121" s="8" t="s">
        <v>109</v>
      </c>
      <c r="E121" s="7" t="str">
        <f t="shared" si="4"/>
        <v>31</v>
      </c>
    </row>
    <row r="122" spans="1:5" x14ac:dyDescent="0.25">
      <c r="A122" s="9" t="str">
        <f t="shared" si="5"/>
        <v>00 STATUS - IDLE</v>
      </c>
      <c r="B122" t="s">
        <v>206</v>
      </c>
      <c r="C122" s="7" t="str">
        <f t="shared" si="3"/>
        <v>31</v>
      </c>
      <c r="D122" s="8" t="s">
        <v>109</v>
      </c>
      <c r="E122" s="7" t="str">
        <f t="shared" si="4"/>
        <v>10</v>
      </c>
    </row>
    <row r="123" spans="1:5" x14ac:dyDescent="0.25">
      <c r="A123" s="9" t="str">
        <f t="shared" si="5"/>
        <v>84 REQUEST MORE TEXT FIELDS - SEND DISC INFO</v>
      </c>
      <c r="B123" t="s">
        <v>200</v>
      </c>
      <c r="C123" s="7" t="str">
        <f t="shared" si="3"/>
        <v>10</v>
      </c>
      <c r="D123" s="8" t="s">
        <v>109</v>
      </c>
      <c r="E123" s="7" t="str">
        <f t="shared" si="4"/>
        <v>31</v>
      </c>
    </row>
    <row r="124" spans="1:5" x14ac:dyDescent="0.25">
      <c r="A124" s="9" t="str">
        <f t="shared" si="5"/>
        <v>01 MASTER REQUEST - SLAVE POLL</v>
      </c>
      <c r="B124" t="s">
        <v>18</v>
      </c>
      <c r="C124" s="7" t="str">
        <f t="shared" si="3"/>
        <v>10</v>
      </c>
      <c r="D124" s="8" t="s">
        <v>109</v>
      </c>
      <c r="E124" s="7" t="str">
        <f t="shared" si="4"/>
        <v>31</v>
      </c>
    </row>
    <row r="125" spans="1:5" x14ac:dyDescent="0.25">
      <c r="A125" s="9" t="str">
        <f t="shared" si="5"/>
        <v>95 MAGAZINE INFO - CD1 YES, CD2 NO, CD3 NO, CD4 NO, CD5 NO, CD6 NO</v>
      </c>
      <c r="B125" t="s">
        <v>209</v>
      </c>
      <c r="C125" s="7" t="str">
        <f t="shared" si="3"/>
        <v>31</v>
      </c>
      <c r="D125" s="8" t="s">
        <v>109</v>
      </c>
      <c r="E125" s="7" t="str">
        <f t="shared" si="4"/>
        <v>10</v>
      </c>
    </row>
    <row r="126" spans="1:5" x14ac:dyDescent="0.25">
      <c r="A126" s="9" t="str">
        <f t="shared" si="5"/>
        <v>01 MASTER REQUEST - SLAVE POLL</v>
      </c>
      <c r="B126" t="s">
        <v>18</v>
      </c>
      <c r="C126" s="7" t="str">
        <f t="shared" si="3"/>
        <v>10</v>
      </c>
      <c r="D126" s="8" t="s">
        <v>109</v>
      </c>
      <c r="E126" s="7" t="str">
        <f t="shared" si="4"/>
        <v>31</v>
      </c>
    </row>
    <row r="127" spans="1:5" x14ac:dyDescent="0.25">
      <c r="A127" s="9" t="str">
        <f t="shared" si="5"/>
        <v>97 DISC INFO - TRACKS: 16, MINS: 79, SECS: 36, DISC: 2</v>
      </c>
      <c r="B127" t="s">
        <v>210</v>
      </c>
      <c r="C127" s="7" t="str">
        <f t="shared" si="3"/>
        <v>31</v>
      </c>
      <c r="D127" s="8" t="s">
        <v>109</v>
      </c>
      <c r="E127" s="7" t="str">
        <f t="shared" si="4"/>
        <v>10</v>
      </c>
    </row>
    <row r="128" spans="1:5" x14ac:dyDescent="0.25">
      <c r="A128" s="9" t="str">
        <f t="shared" si="5"/>
        <v>84 REQUEST MORE TEXT FIELDS - SEND MAGAZINE INFO</v>
      </c>
      <c r="B128" t="s">
        <v>198</v>
      </c>
      <c r="C128" s="7" t="str">
        <f t="shared" si="3"/>
        <v>10</v>
      </c>
      <c r="D128" s="8" t="s">
        <v>109</v>
      </c>
      <c r="E128" s="7" t="str">
        <f t="shared" si="4"/>
        <v>31</v>
      </c>
    </row>
    <row r="129" spans="1:5" x14ac:dyDescent="0.25">
      <c r="A129" s="9" t="str">
        <f t="shared" si="5"/>
        <v>01 MASTER REQUEST - TIME POLL</v>
      </c>
      <c r="B129" t="s">
        <v>34</v>
      </c>
      <c r="C129" s="7" t="str">
        <f t="shared" si="3"/>
        <v>10</v>
      </c>
      <c r="D129" s="8" t="s">
        <v>109</v>
      </c>
      <c r="E129" s="7" t="str">
        <f t="shared" si="4"/>
        <v>31</v>
      </c>
    </row>
    <row r="130" spans="1:5" x14ac:dyDescent="0.25">
      <c r="A130" s="9" t="str">
        <f t="shared" si="5"/>
        <v>00 STATUS - IDLE</v>
      </c>
      <c r="B130" t="s">
        <v>206</v>
      </c>
      <c r="C130" s="7" t="str">
        <f t="shared" ref="C130:C193" si="6">MID(B130,4,2)</f>
        <v>31</v>
      </c>
      <c r="D130" s="8" t="s">
        <v>109</v>
      </c>
      <c r="E130" s="7" t="str">
        <f t="shared" ref="E130:E193" si="7">MID(B130,1,2)</f>
        <v>10</v>
      </c>
    </row>
    <row r="131" spans="1:5" x14ac:dyDescent="0.25">
      <c r="A131" s="9" t="str">
        <f t="shared" ref="A131:A194" si="8">ParseUnilink(B131)</f>
        <v>84 REQUEST MORE TEXT FIELDS - SEND DISC INFO</v>
      </c>
      <c r="B131" t="s">
        <v>200</v>
      </c>
      <c r="C131" s="7" t="str">
        <f t="shared" si="6"/>
        <v>10</v>
      </c>
      <c r="D131" s="8" t="s">
        <v>109</v>
      </c>
      <c r="E131" s="7" t="str">
        <f t="shared" si="7"/>
        <v>31</v>
      </c>
    </row>
    <row r="132" spans="1:5" x14ac:dyDescent="0.25">
      <c r="A132" s="9" t="str">
        <f t="shared" si="8"/>
        <v>01 MASTER REQUEST - SLAVE POLL</v>
      </c>
      <c r="B132" t="s">
        <v>18</v>
      </c>
      <c r="C132" s="7" t="str">
        <f t="shared" si="6"/>
        <v>10</v>
      </c>
      <c r="D132" s="8" t="s">
        <v>109</v>
      </c>
      <c r="E132" s="7" t="str">
        <f t="shared" si="7"/>
        <v>31</v>
      </c>
    </row>
    <row r="133" spans="1:5" x14ac:dyDescent="0.25">
      <c r="A133" s="9" t="str">
        <f t="shared" si="8"/>
        <v>95 MAGAZINE INFO - CD1 YES, CD2 NO, CD3 NO, CD4 NO, CD5 NO, CD6 NO</v>
      </c>
      <c r="B133" t="s">
        <v>209</v>
      </c>
      <c r="C133" s="7" t="str">
        <f t="shared" si="6"/>
        <v>31</v>
      </c>
      <c r="D133" s="8" t="s">
        <v>109</v>
      </c>
      <c r="E133" s="7" t="str">
        <f t="shared" si="7"/>
        <v>10</v>
      </c>
    </row>
    <row r="134" spans="1:5" x14ac:dyDescent="0.25">
      <c r="A134" s="9" t="str">
        <f t="shared" si="8"/>
        <v>01 MASTER REQUEST - SLAVE POLL</v>
      </c>
      <c r="B134" t="s">
        <v>18</v>
      </c>
      <c r="C134" s="7" t="str">
        <f t="shared" si="6"/>
        <v>10</v>
      </c>
      <c r="D134" s="8" t="s">
        <v>109</v>
      </c>
      <c r="E134" s="7" t="str">
        <f t="shared" si="7"/>
        <v>31</v>
      </c>
    </row>
    <row r="135" spans="1:5" x14ac:dyDescent="0.25">
      <c r="A135" s="9" t="str">
        <f t="shared" si="8"/>
        <v>97 DISC INFO - TRACKS: 15, MINS: 63, SECS: 56, DISC: 2</v>
      </c>
      <c r="B135" t="s">
        <v>211</v>
      </c>
      <c r="C135" s="7" t="str">
        <f t="shared" si="6"/>
        <v>31</v>
      </c>
      <c r="D135" s="8" t="s">
        <v>109</v>
      </c>
      <c r="E135" s="7" t="str">
        <f t="shared" si="7"/>
        <v>10</v>
      </c>
    </row>
    <row r="136" spans="1:5" x14ac:dyDescent="0.25">
      <c r="A136" s="9" t="str">
        <f t="shared" si="8"/>
        <v>84 REQUEST MORE TEXT FIELDS - SEND MAGAZINE INFO</v>
      </c>
      <c r="B136" t="s">
        <v>198</v>
      </c>
      <c r="C136" s="7" t="str">
        <f t="shared" si="6"/>
        <v>10</v>
      </c>
      <c r="D136" s="8" t="s">
        <v>109</v>
      </c>
      <c r="E136" s="7" t="str">
        <f t="shared" si="7"/>
        <v>31</v>
      </c>
    </row>
    <row r="137" spans="1:5" x14ac:dyDescent="0.25">
      <c r="A137" s="9" t="str">
        <f t="shared" si="8"/>
        <v>01 MASTER REQUEST - TIME POLL</v>
      </c>
      <c r="B137" t="s">
        <v>34</v>
      </c>
      <c r="C137" s="7" t="str">
        <f t="shared" si="6"/>
        <v>10</v>
      </c>
      <c r="D137" s="8" t="s">
        <v>109</v>
      </c>
      <c r="E137" s="7" t="str">
        <f t="shared" si="7"/>
        <v>31</v>
      </c>
    </row>
    <row r="138" spans="1:5" x14ac:dyDescent="0.25">
      <c r="A138" s="9" t="str">
        <f t="shared" si="8"/>
        <v>00 STATUS - IDLE</v>
      </c>
      <c r="B138" t="s">
        <v>206</v>
      </c>
      <c r="C138" s="7" t="str">
        <f t="shared" si="6"/>
        <v>31</v>
      </c>
      <c r="D138" s="8" t="s">
        <v>109</v>
      </c>
      <c r="E138" s="7" t="str">
        <f t="shared" si="7"/>
        <v>10</v>
      </c>
    </row>
    <row r="139" spans="1:5" x14ac:dyDescent="0.25">
      <c r="A139" s="9" t="str">
        <f t="shared" si="8"/>
        <v>84 REQUEST MORE TEXT FIELDS - SEND DISC INFO</v>
      </c>
      <c r="B139" t="s">
        <v>200</v>
      </c>
      <c r="C139" s="7" t="str">
        <f t="shared" si="6"/>
        <v>10</v>
      </c>
      <c r="D139" s="8" t="s">
        <v>109</v>
      </c>
      <c r="E139" s="7" t="str">
        <f t="shared" si="7"/>
        <v>31</v>
      </c>
    </row>
    <row r="140" spans="1:5" x14ac:dyDescent="0.25">
      <c r="A140" s="9" t="str">
        <f t="shared" si="8"/>
        <v>95 MAGAZINE INFO - CD1 YES, CD2 NO, CD3 NO, CD4 NO, CD5 NO, CD6 NO</v>
      </c>
      <c r="B140" t="s">
        <v>209</v>
      </c>
      <c r="C140" s="7" t="str">
        <f t="shared" si="6"/>
        <v>31</v>
      </c>
      <c r="D140" s="8" t="s">
        <v>109</v>
      </c>
      <c r="E140" s="7" t="str">
        <f t="shared" si="7"/>
        <v>10</v>
      </c>
    </row>
    <row r="141" spans="1:5" x14ac:dyDescent="0.25">
      <c r="A141" s="9" t="str">
        <f t="shared" si="8"/>
        <v>01 MASTER REQUEST - SLAVE POLL</v>
      </c>
      <c r="B141" t="s">
        <v>18</v>
      </c>
      <c r="C141" s="7" t="str">
        <f t="shared" si="6"/>
        <v>10</v>
      </c>
      <c r="D141" s="8" t="s">
        <v>109</v>
      </c>
      <c r="E141" s="7" t="str">
        <f t="shared" si="7"/>
        <v>31</v>
      </c>
    </row>
    <row r="142" spans="1:5" x14ac:dyDescent="0.25">
      <c r="A142" s="9" t="str">
        <f t="shared" si="8"/>
        <v>97 DISC INFO - TRACKS: 15, MINS: 63, SECS: 56, DISC: 2</v>
      </c>
      <c r="B142" t="s">
        <v>211</v>
      </c>
      <c r="C142" s="7" t="str">
        <f t="shared" si="6"/>
        <v>31</v>
      </c>
      <c r="D142" s="8" t="s">
        <v>109</v>
      </c>
      <c r="E142" s="7" t="str">
        <f t="shared" si="7"/>
        <v>10</v>
      </c>
    </row>
    <row r="143" spans="1:5" x14ac:dyDescent="0.25">
      <c r="A143" s="9" t="str">
        <f t="shared" si="8"/>
        <v>01 MASTER REQUEST - SLAVE POLL</v>
      </c>
      <c r="B143" t="s">
        <v>18</v>
      </c>
      <c r="C143" s="7" t="str">
        <f t="shared" si="6"/>
        <v>10</v>
      </c>
      <c r="D143" s="8" t="s">
        <v>109</v>
      </c>
      <c r="E143" s="7" t="str">
        <f t="shared" si="7"/>
        <v>31</v>
      </c>
    </row>
    <row r="144" spans="1:5" x14ac:dyDescent="0.25">
      <c r="A144" s="9" t="str">
        <f t="shared" si="8"/>
        <v>01 MASTER REQUEST - SLAVE POLL</v>
      </c>
      <c r="B144" t="s">
        <v>18</v>
      </c>
      <c r="C144" s="7" t="str">
        <f t="shared" si="6"/>
        <v>10</v>
      </c>
      <c r="D144" s="8" t="s">
        <v>109</v>
      </c>
      <c r="E144" s="7" t="str">
        <f t="shared" si="7"/>
        <v>31</v>
      </c>
    </row>
    <row r="145" spans="1:5" x14ac:dyDescent="0.25">
      <c r="A145" s="9" t="str">
        <f t="shared" si="8"/>
        <v>00 STATUS - IDLE</v>
      </c>
      <c r="B145" t="s">
        <v>206</v>
      </c>
      <c r="C145" s="7" t="str">
        <f t="shared" si="6"/>
        <v>31</v>
      </c>
      <c r="D145" s="8" t="s">
        <v>109</v>
      </c>
      <c r="E145" s="7" t="str">
        <f t="shared" si="7"/>
        <v>10</v>
      </c>
    </row>
    <row r="146" spans="1:5" x14ac:dyDescent="0.25">
      <c r="A146" s="9" t="str">
        <f t="shared" si="8"/>
        <v>84 REQUEST MORE TEXT FIELDS - SEND MAGAZINE INFO</v>
      </c>
      <c r="B146" t="s">
        <v>198</v>
      </c>
      <c r="C146" s="7" t="str">
        <f t="shared" si="6"/>
        <v>10</v>
      </c>
      <c r="D146" s="8" t="s">
        <v>109</v>
      </c>
      <c r="E146" s="7" t="str">
        <f t="shared" si="7"/>
        <v>31</v>
      </c>
    </row>
    <row r="147" spans="1:5" x14ac:dyDescent="0.25">
      <c r="A147" s="9" t="str">
        <f t="shared" si="8"/>
        <v>01 MASTER REQUEST - TIME POLL</v>
      </c>
      <c r="B147" t="s">
        <v>34</v>
      </c>
      <c r="C147" s="7" t="str">
        <f t="shared" si="6"/>
        <v>10</v>
      </c>
      <c r="D147" s="8" t="s">
        <v>109</v>
      </c>
      <c r="E147" s="7" t="str">
        <f t="shared" si="7"/>
        <v>31</v>
      </c>
    </row>
    <row r="148" spans="1:5" x14ac:dyDescent="0.25">
      <c r="A148" s="9" t="str">
        <f t="shared" si="8"/>
        <v>00 STATUS - IDLE</v>
      </c>
      <c r="B148" t="s">
        <v>206</v>
      </c>
      <c r="C148" s="7" t="str">
        <f t="shared" si="6"/>
        <v>31</v>
      </c>
      <c r="D148" s="8" t="s">
        <v>109</v>
      </c>
      <c r="E148" s="7" t="str">
        <f t="shared" si="7"/>
        <v>10</v>
      </c>
    </row>
    <row r="149" spans="1:5" x14ac:dyDescent="0.25">
      <c r="A149" s="9" t="str">
        <f t="shared" si="8"/>
        <v>84 REQUEST MORE TEXT FIELDS - SEND DISC INFO</v>
      </c>
      <c r="B149" t="s">
        <v>200</v>
      </c>
      <c r="C149" s="7" t="str">
        <f t="shared" si="6"/>
        <v>10</v>
      </c>
      <c r="D149" s="8" t="s">
        <v>109</v>
      </c>
      <c r="E149" s="7" t="str">
        <f t="shared" si="7"/>
        <v>31</v>
      </c>
    </row>
    <row r="150" spans="1:5" x14ac:dyDescent="0.25">
      <c r="A150" s="9" t="str">
        <f t="shared" si="8"/>
        <v>01 MASTER REQUEST - SLAVE POLL</v>
      </c>
      <c r="B150" t="s">
        <v>18</v>
      </c>
      <c r="C150" s="7" t="str">
        <f t="shared" si="6"/>
        <v>10</v>
      </c>
      <c r="D150" s="8" t="s">
        <v>109</v>
      </c>
      <c r="E150" s="7" t="str">
        <f t="shared" si="7"/>
        <v>31</v>
      </c>
    </row>
    <row r="151" spans="1:5" x14ac:dyDescent="0.25">
      <c r="A151" s="9" t="str">
        <f t="shared" si="8"/>
        <v>95 MAGAZINE INFO - CD1 YES, CD2 YES, CD3 NO, CD4 NO, CD5 NO, CD6 NO</v>
      </c>
      <c r="B151" t="s">
        <v>212</v>
      </c>
      <c r="C151" s="7" t="str">
        <f t="shared" si="6"/>
        <v>31</v>
      </c>
      <c r="D151" s="8" t="s">
        <v>109</v>
      </c>
      <c r="E151" s="7" t="str">
        <f t="shared" si="7"/>
        <v>10</v>
      </c>
    </row>
    <row r="152" spans="1:5" x14ac:dyDescent="0.25">
      <c r="A152" s="9" t="str">
        <f t="shared" si="8"/>
        <v>01 MASTER REQUEST - SLAVE POLL</v>
      </c>
      <c r="B152" t="s">
        <v>18</v>
      </c>
      <c r="C152" s="7" t="str">
        <f t="shared" si="6"/>
        <v>10</v>
      </c>
      <c r="D152" s="8" t="s">
        <v>109</v>
      </c>
      <c r="E152" s="7" t="str">
        <f t="shared" si="7"/>
        <v>31</v>
      </c>
    </row>
    <row r="153" spans="1:5" x14ac:dyDescent="0.25">
      <c r="A153" s="9" t="str">
        <f t="shared" si="8"/>
        <v>97 DISC INFO - TRACKS: 15, MINS: 63, SECS: 56, DISC: 3</v>
      </c>
      <c r="B153" t="s">
        <v>213</v>
      </c>
      <c r="C153" s="7" t="str">
        <f t="shared" si="6"/>
        <v>31</v>
      </c>
      <c r="D153" s="8" t="s">
        <v>109</v>
      </c>
      <c r="E153" s="7" t="str">
        <f t="shared" si="7"/>
        <v>10</v>
      </c>
    </row>
    <row r="154" spans="1:5" x14ac:dyDescent="0.25">
      <c r="A154" s="9" t="str">
        <f t="shared" si="8"/>
        <v>01 MASTER REQUEST - SLAVE POLL</v>
      </c>
      <c r="B154" t="s">
        <v>18</v>
      </c>
      <c r="C154" s="7" t="str">
        <f t="shared" si="6"/>
        <v>10</v>
      </c>
      <c r="D154" s="8" t="s">
        <v>109</v>
      </c>
      <c r="E154" s="7" t="str">
        <f t="shared" si="7"/>
        <v>31</v>
      </c>
    </row>
    <row r="155" spans="1:5" x14ac:dyDescent="0.25">
      <c r="A155" s="9" t="str">
        <f t="shared" si="8"/>
        <v>00 STATUS - IDLE</v>
      </c>
      <c r="B155" t="s">
        <v>206</v>
      </c>
      <c r="C155" s="7" t="str">
        <f t="shared" si="6"/>
        <v>31</v>
      </c>
      <c r="D155" s="8" t="s">
        <v>109</v>
      </c>
      <c r="E155" s="7" t="str">
        <f t="shared" si="7"/>
        <v>10</v>
      </c>
    </row>
    <row r="156" spans="1:5" x14ac:dyDescent="0.25">
      <c r="A156" s="9" t="str">
        <f t="shared" si="8"/>
        <v>84 REQUEST MORE TEXT FIELDS - SEND MAGAZINE INFO</v>
      </c>
      <c r="B156" t="s">
        <v>198</v>
      </c>
      <c r="C156" s="7" t="str">
        <f t="shared" si="6"/>
        <v>10</v>
      </c>
      <c r="D156" s="8" t="s">
        <v>109</v>
      </c>
      <c r="E156" s="7" t="str">
        <f t="shared" si="7"/>
        <v>31</v>
      </c>
    </row>
    <row r="157" spans="1:5" x14ac:dyDescent="0.25">
      <c r="A157" s="9" t="str">
        <f t="shared" si="8"/>
        <v>01 MASTER REQUEST - TIME POLL</v>
      </c>
      <c r="B157" t="s">
        <v>34</v>
      </c>
      <c r="C157" s="7" t="str">
        <f t="shared" si="6"/>
        <v>10</v>
      </c>
      <c r="D157" s="8" t="s">
        <v>109</v>
      </c>
      <c r="E157" s="7" t="str">
        <f t="shared" si="7"/>
        <v>31</v>
      </c>
    </row>
    <row r="158" spans="1:5" x14ac:dyDescent="0.25">
      <c r="A158" s="9" t="str">
        <f t="shared" si="8"/>
        <v>00 STATUS - IDLE</v>
      </c>
      <c r="B158" t="s">
        <v>206</v>
      </c>
      <c r="C158" s="7" t="str">
        <f t="shared" si="6"/>
        <v>31</v>
      </c>
      <c r="D158" s="8" t="s">
        <v>109</v>
      </c>
      <c r="E158" s="7" t="str">
        <f t="shared" si="7"/>
        <v>10</v>
      </c>
    </row>
    <row r="159" spans="1:5" x14ac:dyDescent="0.25">
      <c r="A159" s="9" t="str">
        <f t="shared" si="8"/>
        <v>84 REQUEST MORE TEXT FIELDS - SEND DISC INFO</v>
      </c>
      <c r="B159" t="s">
        <v>200</v>
      </c>
      <c r="C159" s="7" t="str">
        <f t="shared" si="6"/>
        <v>10</v>
      </c>
      <c r="D159" s="8" t="s">
        <v>109</v>
      </c>
      <c r="E159" s="7" t="str">
        <f t="shared" si="7"/>
        <v>31</v>
      </c>
    </row>
    <row r="160" spans="1:5" x14ac:dyDescent="0.25">
      <c r="A160" s="9" t="str">
        <f t="shared" si="8"/>
        <v>01 MASTER REQUEST - SLAVE POLL</v>
      </c>
      <c r="B160" t="s">
        <v>18</v>
      </c>
      <c r="C160" s="7" t="str">
        <f t="shared" si="6"/>
        <v>10</v>
      </c>
      <c r="D160" s="8" t="s">
        <v>109</v>
      </c>
      <c r="E160" s="7" t="str">
        <f t="shared" si="7"/>
        <v>31</v>
      </c>
    </row>
    <row r="161" spans="1:5" x14ac:dyDescent="0.25">
      <c r="A161" s="9" t="str">
        <f t="shared" si="8"/>
        <v>95 MAGAZINE INFO - CD1 YES, CD2 YES, CD3 NO, CD4 NO, CD5 NO, CD6 NO</v>
      </c>
      <c r="B161" t="s">
        <v>212</v>
      </c>
      <c r="C161" s="7" t="str">
        <f t="shared" si="6"/>
        <v>31</v>
      </c>
      <c r="D161" s="8" t="s">
        <v>109</v>
      </c>
      <c r="E161" s="7" t="str">
        <f t="shared" si="7"/>
        <v>10</v>
      </c>
    </row>
    <row r="162" spans="1:5" x14ac:dyDescent="0.25">
      <c r="A162" s="9" t="str">
        <f t="shared" si="8"/>
        <v>01 MASTER REQUEST - SLAVE POLL</v>
      </c>
      <c r="B162" t="s">
        <v>18</v>
      </c>
      <c r="C162" s="7" t="str">
        <f t="shared" si="6"/>
        <v>10</v>
      </c>
      <c r="D162" s="8" t="s">
        <v>109</v>
      </c>
      <c r="E162" s="7" t="str">
        <f t="shared" si="7"/>
        <v>31</v>
      </c>
    </row>
    <row r="163" spans="1:5" x14ac:dyDescent="0.25">
      <c r="A163" s="9" t="str">
        <f t="shared" si="8"/>
        <v>97 DISC INFO - TRACKS: 15, MINS: 63, SECS: 56, DISC: 3</v>
      </c>
      <c r="B163" t="s">
        <v>213</v>
      </c>
      <c r="C163" s="7" t="str">
        <f t="shared" si="6"/>
        <v>31</v>
      </c>
      <c r="D163" s="8" t="s">
        <v>109</v>
      </c>
      <c r="E163" s="7" t="str">
        <f t="shared" si="7"/>
        <v>10</v>
      </c>
    </row>
    <row r="164" spans="1:5" x14ac:dyDescent="0.25">
      <c r="A164" s="9" t="str">
        <f t="shared" si="8"/>
        <v>01 MASTER REQUEST - TIME POLL</v>
      </c>
      <c r="B164" t="s">
        <v>34</v>
      </c>
      <c r="C164" s="7" t="str">
        <f t="shared" si="6"/>
        <v>10</v>
      </c>
      <c r="D164" s="8" t="s">
        <v>109</v>
      </c>
      <c r="E164" s="7" t="str">
        <f t="shared" si="7"/>
        <v>31</v>
      </c>
    </row>
    <row r="165" spans="1:5" x14ac:dyDescent="0.25">
      <c r="A165" s="9" t="str">
        <f t="shared" si="8"/>
        <v>00 STATUS - IDLE</v>
      </c>
      <c r="B165" t="s">
        <v>206</v>
      </c>
      <c r="C165" s="7" t="str">
        <f t="shared" si="6"/>
        <v>31</v>
      </c>
      <c r="D165" s="8" t="s">
        <v>109</v>
      </c>
      <c r="E165" s="7" t="str">
        <f t="shared" si="7"/>
        <v>10</v>
      </c>
    </row>
    <row r="166" spans="1:5" x14ac:dyDescent="0.25">
      <c r="A166" s="9" t="str">
        <f t="shared" si="8"/>
        <v>84 REQUEST MORE TEXT FIELDS - SEND DISC INFO</v>
      </c>
      <c r="B166" t="s">
        <v>200</v>
      </c>
      <c r="C166" s="7" t="str">
        <f t="shared" si="6"/>
        <v>10</v>
      </c>
      <c r="D166" s="8" t="s">
        <v>109</v>
      </c>
      <c r="E166" s="7" t="str">
        <f t="shared" si="7"/>
        <v>31</v>
      </c>
    </row>
    <row r="167" spans="1:5" x14ac:dyDescent="0.25">
      <c r="A167" s="9" t="str">
        <f t="shared" si="8"/>
        <v>01 MASTER REQUEST - SLAVE POLL</v>
      </c>
      <c r="B167" t="s">
        <v>18</v>
      </c>
      <c r="C167" s="7" t="str">
        <f t="shared" si="6"/>
        <v>10</v>
      </c>
      <c r="D167" s="8" t="s">
        <v>109</v>
      </c>
      <c r="E167" s="7" t="str">
        <f t="shared" si="7"/>
        <v>31</v>
      </c>
    </row>
    <row r="168" spans="1:5" x14ac:dyDescent="0.25">
      <c r="A168" s="9" t="str">
        <f t="shared" si="8"/>
        <v>95 MAGAZINE INFO - CD1 YES, CD2 YES, CD3 NO, CD4 NO, CD5 NO, CD6 NO</v>
      </c>
      <c r="B168" t="s">
        <v>212</v>
      </c>
      <c r="C168" s="7" t="str">
        <f t="shared" si="6"/>
        <v>31</v>
      </c>
      <c r="D168" s="8" t="s">
        <v>109</v>
      </c>
      <c r="E168" s="7" t="str">
        <f t="shared" si="7"/>
        <v>10</v>
      </c>
    </row>
    <row r="169" spans="1:5" x14ac:dyDescent="0.25">
      <c r="A169" s="9" t="str">
        <f t="shared" si="8"/>
        <v>01 MASTER REQUEST - SLAVE POLL</v>
      </c>
      <c r="B169" t="s">
        <v>18</v>
      </c>
      <c r="C169" s="7" t="str">
        <f t="shared" si="6"/>
        <v>10</v>
      </c>
      <c r="D169" s="8" t="s">
        <v>109</v>
      </c>
      <c r="E169" s="7" t="str">
        <f t="shared" si="7"/>
        <v>31</v>
      </c>
    </row>
    <row r="170" spans="1:5" x14ac:dyDescent="0.25">
      <c r="A170" s="9" t="str">
        <f t="shared" si="8"/>
        <v>97 DISC INFO - TRACKS: 15, MINS: 63, SECS: 56, DISC: 3</v>
      </c>
      <c r="B170" t="s">
        <v>213</v>
      </c>
      <c r="C170" s="7" t="str">
        <f t="shared" si="6"/>
        <v>31</v>
      </c>
      <c r="D170" s="8" t="s">
        <v>109</v>
      </c>
      <c r="E170" s="7" t="str">
        <f t="shared" si="7"/>
        <v>10</v>
      </c>
    </row>
    <row r="171" spans="1:5" x14ac:dyDescent="0.25">
      <c r="A171" s="9" t="str">
        <f t="shared" si="8"/>
        <v>84 REQUEST MORE TEXT FIELDS - SEND MAGAZINE INFO</v>
      </c>
      <c r="B171" t="s">
        <v>198</v>
      </c>
      <c r="C171" s="7" t="str">
        <f t="shared" si="6"/>
        <v>10</v>
      </c>
      <c r="D171" s="8" t="s">
        <v>109</v>
      </c>
      <c r="E171" s="7" t="str">
        <f t="shared" si="7"/>
        <v>31</v>
      </c>
    </row>
    <row r="172" spans="1:5" x14ac:dyDescent="0.25">
      <c r="A172" s="9" t="str">
        <f t="shared" si="8"/>
        <v>01 MASTER REQUEST - TIME POLL</v>
      </c>
      <c r="B172" t="s">
        <v>34</v>
      </c>
      <c r="C172" s="7" t="str">
        <f t="shared" si="6"/>
        <v>10</v>
      </c>
      <c r="D172" s="8" t="s">
        <v>109</v>
      </c>
      <c r="E172" s="7" t="str">
        <f t="shared" si="7"/>
        <v>31</v>
      </c>
    </row>
    <row r="173" spans="1:5" x14ac:dyDescent="0.25">
      <c r="A173" s="9" t="str">
        <f t="shared" si="8"/>
        <v>00 STATUS - IDLE</v>
      </c>
      <c r="B173" t="s">
        <v>206</v>
      </c>
      <c r="C173" s="7" t="str">
        <f t="shared" si="6"/>
        <v>31</v>
      </c>
      <c r="D173" s="8" t="s">
        <v>109</v>
      </c>
      <c r="E173" s="7" t="str">
        <f t="shared" si="7"/>
        <v>10</v>
      </c>
    </row>
    <row r="174" spans="1:5" x14ac:dyDescent="0.25">
      <c r="A174" s="9" t="str">
        <f t="shared" si="8"/>
        <v>01 MASTER REQUEST - SLAVE POLL</v>
      </c>
      <c r="B174" t="s">
        <v>18</v>
      </c>
      <c r="C174" s="7" t="str">
        <f t="shared" si="6"/>
        <v>10</v>
      </c>
      <c r="D174" s="8" t="s">
        <v>109</v>
      </c>
      <c r="E174" s="7" t="str">
        <f t="shared" si="7"/>
        <v>31</v>
      </c>
    </row>
    <row r="175" spans="1:5" x14ac:dyDescent="0.25">
      <c r="A175" s="9" t="str">
        <f t="shared" si="8"/>
        <v>95 MAGAZINE INFO - CD1 YES, CD2 YES, CD3 NO, CD4 NO, CD5 NO, CD6 NO</v>
      </c>
      <c r="B175" t="s">
        <v>212</v>
      </c>
      <c r="C175" s="7" t="str">
        <f t="shared" si="6"/>
        <v>31</v>
      </c>
      <c r="D175" s="8" t="s">
        <v>109</v>
      </c>
      <c r="E175" s="7" t="str">
        <f t="shared" si="7"/>
        <v>10</v>
      </c>
    </row>
    <row r="176" spans="1:5" x14ac:dyDescent="0.25">
      <c r="A176" s="9" t="str">
        <f t="shared" si="8"/>
        <v>01 MASTER REQUEST - SLAVE POLL</v>
      </c>
      <c r="B176" t="s">
        <v>18</v>
      </c>
      <c r="C176" s="7" t="str">
        <f t="shared" si="6"/>
        <v>10</v>
      </c>
      <c r="D176" s="8" t="s">
        <v>109</v>
      </c>
      <c r="E176" s="7" t="str">
        <f t="shared" si="7"/>
        <v>31</v>
      </c>
    </row>
    <row r="177" spans="1:5" x14ac:dyDescent="0.25">
      <c r="A177" s="9" t="str">
        <f t="shared" si="8"/>
        <v>97 DISC INFO - TRACKS: 15, MINS: 63, SECS: 56, DISC: 3</v>
      </c>
      <c r="B177" t="s">
        <v>213</v>
      </c>
      <c r="C177" s="7" t="str">
        <f t="shared" si="6"/>
        <v>31</v>
      </c>
      <c r="D177" s="8" t="s">
        <v>109</v>
      </c>
      <c r="E177" s="7" t="str">
        <f t="shared" si="7"/>
        <v>10</v>
      </c>
    </row>
    <row r="178" spans="1:5" x14ac:dyDescent="0.25">
      <c r="A178" s="9" t="str">
        <f t="shared" si="8"/>
        <v>01 MASTER REQUEST - SLAVE POLL</v>
      </c>
      <c r="B178" t="s">
        <v>18</v>
      </c>
      <c r="C178" s="7" t="str">
        <f t="shared" si="6"/>
        <v>10</v>
      </c>
      <c r="D178" s="8" t="s">
        <v>109</v>
      </c>
      <c r="E178" s="7" t="str">
        <f t="shared" si="7"/>
        <v>31</v>
      </c>
    </row>
    <row r="179" spans="1:5" x14ac:dyDescent="0.25">
      <c r="A179" s="9" t="str">
        <f t="shared" si="8"/>
        <v>00 STATUS - IDLE</v>
      </c>
      <c r="B179" t="s">
        <v>206</v>
      </c>
      <c r="C179" s="7" t="str">
        <f t="shared" si="6"/>
        <v>31</v>
      </c>
      <c r="D179" s="8" t="s">
        <v>109</v>
      </c>
      <c r="E179" s="7" t="str">
        <f t="shared" si="7"/>
        <v>10</v>
      </c>
    </row>
    <row r="180" spans="1:5" x14ac:dyDescent="0.25">
      <c r="A180" s="9" t="str">
        <f t="shared" si="8"/>
        <v>01 MASTER REQUEST - TIME POLL</v>
      </c>
      <c r="B180" t="s">
        <v>34</v>
      </c>
      <c r="C180" s="7" t="str">
        <f t="shared" si="6"/>
        <v>10</v>
      </c>
      <c r="D180" s="8" t="s">
        <v>109</v>
      </c>
      <c r="E180" s="7" t="str">
        <f t="shared" si="7"/>
        <v>31</v>
      </c>
    </row>
    <row r="181" spans="1:5" x14ac:dyDescent="0.25">
      <c r="A181" s="9" t="str">
        <f t="shared" si="8"/>
        <v>00 STATUS - IDLE</v>
      </c>
      <c r="B181" t="s">
        <v>206</v>
      </c>
      <c r="C181" s="7" t="str">
        <f t="shared" si="6"/>
        <v>31</v>
      </c>
      <c r="D181" s="8" t="s">
        <v>109</v>
      </c>
      <c r="E181" s="7" t="str">
        <f t="shared" si="7"/>
        <v>10</v>
      </c>
    </row>
    <row r="182" spans="1:5" x14ac:dyDescent="0.25">
      <c r="A182" s="9" t="str">
        <f t="shared" si="8"/>
        <v>84 REQUEST MORE TEXT FIELDS - SEND DISC INFO</v>
      </c>
      <c r="B182" t="s">
        <v>200</v>
      </c>
      <c r="C182" s="7" t="str">
        <f t="shared" si="6"/>
        <v>10</v>
      </c>
      <c r="D182" s="8" t="s">
        <v>109</v>
      </c>
      <c r="E182" s="7" t="str">
        <f t="shared" si="7"/>
        <v>31</v>
      </c>
    </row>
    <row r="183" spans="1:5" x14ac:dyDescent="0.25">
      <c r="A183" s="9" t="str">
        <f t="shared" si="8"/>
        <v>01 MASTER REQUEST - SLAVE POLL</v>
      </c>
      <c r="B183" t="s">
        <v>18</v>
      </c>
      <c r="C183" s="7" t="str">
        <f t="shared" si="6"/>
        <v>10</v>
      </c>
      <c r="D183" s="8" t="s">
        <v>109</v>
      </c>
      <c r="E183" s="7" t="str">
        <f t="shared" si="7"/>
        <v>31</v>
      </c>
    </row>
    <row r="184" spans="1:5" x14ac:dyDescent="0.25">
      <c r="A184" s="9" t="str">
        <f t="shared" si="8"/>
        <v>95 MAGAZINE INFO - CD1 YES, CD2 YES, CD3 NO, CD4 NO, CD5 NO, CD6 NO</v>
      </c>
      <c r="B184" t="s">
        <v>212</v>
      </c>
      <c r="C184" s="7" t="str">
        <f t="shared" si="6"/>
        <v>31</v>
      </c>
      <c r="D184" s="8" t="s">
        <v>109</v>
      </c>
      <c r="E184" s="7" t="str">
        <f t="shared" si="7"/>
        <v>10</v>
      </c>
    </row>
    <row r="185" spans="1:5" x14ac:dyDescent="0.25">
      <c r="A185" s="9" t="str">
        <f t="shared" si="8"/>
        <v>01 MASTER REQUEST - SLAVE POLL</v>
      </c>
      <c r="B185" t="s">
        <v>18</v>
      </c>
      <c r="C185" s="7" t="str">
        <f t="shared" si="6"/>
        <v>10</v>
      </c>
      <c r="D185" s="8" t="s">
        <v>109</v>
      </c>
      <c r="E185" s="7" t="str">
        <f t="shared" si="7"/>
        <v>31</v>
      </c>
    </row>
    <row r="186" spans="1:5" x14ac:dyDescent="0.25">
      <c r="A186" s="9" t="str">
        <f t="shared" si="8"/>
        <v>97 DISC INFO - TRACKS: 15, MINS: 63, SECS: 56, DISC: 3</v>
      </c>
      <c r="B186" t="s">
        <v>213</v>
      </c>
      <c r="C186" s="7" t="str">
        <f t="shared" si="6"/>
        <v>31</v>
      </c>
      <c r="D186" s="8" t="s">
        <v>109</v>
      </c>
      <c r="E186" s="7" t="str">
        <f t="shared" si="7"/>
        <v>10</v>
      </c>
    </row>
    <row r="187" spans="1:5" x14ac:dyDescent="0.25">
      <c r="A187" s="9" t="str">
        <f t="shared" si="8"/>
        <v>01 MASTER REQUEST - SLAVE POLL</v>
      </c>
      <c r="B187" t="s">
        <v>18</v>
      </c>
      <c r="C187" s="7" t="str">
        <f t="shared" si="6"/>
        <v>10</v>
      </c>
      <c r="D187" s="8" t="s">
        <v>109</v>
      </c>
      <c r="E187" s="7" t="str">
        <f t="shared" si="7"/>
        <v>31</v>
      </c>
    </row>
    <row r="188" spans="1:5" x14ac:dyDescent="0.25">
      <c r="A188" s="9" t="str">
        <f t="shared" si="8"/>
        <v>00 STATUS - IDLE</v>
      </c>
      <c r="B188" t="s">
        <v>206</v>
      </c>
      <c r="C188" s="7" t="str">
        <f t="shared" si="6"/>
        <v>31</v>
      </c>
      <c r="D188" s="8" t="s">
        <v>109</v>
      </c>
      <c r="E188" s="7" t="str">
        <f t="shared" si="7"/>
        <v>10</v>
      </c>
    </row>
    <row r="189" spans="1:5" x14ac:dyDescent="0.25">
      <c r="A189" s="9" t="str">
        <f t="shared" si="8"/>
        <v>84 REQUEST MORE TEXT FIELDS - SEND MAGAZINE INFO</v>
      </c>
      <c r="B189" t="s">
        <v>198</v>
      </c>
      <c r="C189" s="7" t="str">
        <f t="shared" si="6"/>
        <v>10</v>
      </c>
      <c r="D189" s="8" t="s">
        <v>109</v>
      </c>
      <c r="E189" s="7" t="str">
        <f t="shared" si="7"/>
        <v>31</v>
      </c>
    </row>
    <row r="190" spans="1:5" x14ac:dyDescent="0.25">
      <c r="A190" s="9" t="str">
        <f t="shared" si="8"/>
        <v>00 STATUS - IDLE</v>
      </c>
      <c r="B190" t="s">
        <v>206</v>
      </c>
      <c r="C190" s="7" t="str">
        <f t="shared" si="6"/>
        <v>31</v>
      </c>
      <c r="D190" s="8" t="s">
        <v>109</v>
      </c>
      <c r="E190" s="7" t="str">
        <f t="shared" si="7"/>
        <v>10</v>
      </c>
    </row>
    <row r="191" spans="1:5" x14ac:dyDescent="0.25">
      <c r="A191" s="9" t="str">
        <f t="shared" si="8"/>
        <v>84 REQUEST MORE TEXT FIELDS - SEND DISC INFO</v>
      </c>
      <c r="B191" t="s">
        <v>200</v>
      </c>
      <c r="C191" s="7" t="str">
        <f t="shared" si="6"/>
        <v>10</v>
      </c>
      <c r="D191" s="8" t="s">
        <v>109</v>
      </c>
      <c r="E191" s="7" t="str">
        <f t="shared" si="7"/>
        <v>31</v>
      </c>
    </row>
    <row r="192" spans="1:5" x14ac:dyDescent="0.25">
      <c r="A192" s="9" t="str">
        <f t="shared" si="8"/>
        <v>01 MASTER REQUEST - SLAVE POLL</v>
      </c>
      <c r="B192" t="s">
        <v>18</v>
      </c>
      <c r="C192" s="7" t="str">
        <f t="shared" si="6"/>
        <v>10</v>
      </c>
      <c r="D192" s="8" t="s">
        <v>109</v>
      </c>
      <c r="E192" s="7" t="str">
        <f t="shared" si="7"/>
        <v>31</v>
      </c>
    </row>
    <row r="193" spans="1:5" x14ac:dyDescent="0.25">
      <c r="A193" s="9" t="str">
        <f t="shared" si="8"/>
        <v>95 MAGAZINE INFO - CD1 YES, CD2 YES, CD3 NO, CD4 NO, CD5 NO, CD6 NO</v>
      </c>
      <c r="B193" t="s">
        <v>212</v>
      </c>
      <c r="C193" s="7" t="str">
        <f t="shared" si="6"/>
        <v>31</v>
      </c>
      <c r="D193" s="8" t="s">
        <v>109</v>
      </c>
      <c r="E193" s="7" t="str">
        <f t="shared" si="7"/>
        <v>10</v>
      </c>
    </row>
    <row r="194" spans="1:5" x14ac:dyDescent="0.25">
      <c r="A194" s="9" t="str">
        <f t="shared" si="8"/>
        <v>01 MASTER REQUEST - SLAVE POLL</v>
      </c>
      <c r="B194" t="s">
        <v>18</v>
      </c>
      <c r="C194" s="7" t="str">
        <f t="shared" ref="C194:C257" si="9">MID(B194,4,2)</f>
        <v>10</v>
      </c>
      <c r="D194" s="8" t="s">
        <v>109</v>
      </c>
      <c r="E194" s="7" t="str">
        <f t="shared" ref="E194:E257" si="10">MID(B194,1,2)</f>
        <v>31</v>
      </c>
    </row>
    <row r="195" spans="1:5" x14ac:dyDescent="0.25">
      <c r="A195" s="9" t="str">
        <f t="shared" ref="A195:A258" si="11">ParseUnilink(B195)</f>
        <v>97 DISC INFO - TRACKS: 15, MINS: 63, SECS: 56, DISC: 3</v>
      </c>
      <c r="B195" t="s">
        <v>213</v>
      </c>
      <c r="C195" s="7" t="str">
        <f t="shared" si="9"/>
        <v>31</v>
      </c>
      <c r="D195" s="8" t="s">
        <v>109</v>
      </c>
      <c r="E195" s="7" t="str">
        <f t="shared" si="10"/>
        <v>10</v>
      </c>
    </row>
    <row r="196" spans="1:5" x14ac:dyDescent="0.25">
      <c r="A196" s="9" t="str">
        <f t="shared" si="11"/>
        <v>84 REQUEST MORE TEXT FIELDS - SEND MAGAZINE INFO</v>
      </c>
      <c r="B196" t="s">
        <v>198</v>
      </c>
      <c r="C196" s="7" t="str">
        <f t="shared" si="9"/>
        <v>10</v>
      </c>
      <c r="D196" s="8" t="s">
        <v>109</v>
      </c>
      <c r="E196" s="7" t="str">
        <f t="shared" si="10"/>
        <v>31</v>
      </c>
    </row>
    <row r="197" spans="1:5" x14ac:dyDescent="0.25">
      <c r="A197" s="9" t="str">
        <f t="shared" si="11"/>
        <v>01 MASTER REQUEST - TIME POLL</v>
      </c>
      <c r="B197" t="s">
        <v>34</v>
      </c>
      <c r="C197" s="7" t="str">
        <f t="shared" si="9"/>
        <v>10</v>
      </c>
      <c r="D197" s="8" t="s">
        <v>109</v>
      </c>
      <c r="E197" s="7" t="str">
        <f t="shared" si="10"/>
        <v>31</v>
      </c>
    </row>
    <row r="198" spans="1:5" x14ac:dyDescent="0.25">
      <c r="A198" s="9" t="str">
        <f t="shared" si="11"/>
        <v>00 STATUS - IDLE</v>
      </c>
      <c r="B198" t="s">
        <v>206</v>
      </c>
      <c r="C198" s="7" t="str">
        <f t="shared" si="9"/>
        <v>31</v>
      </c>
      <c r="D198" s="8" t="s">
        <v>109</v>
      </c>
      <c r="E198" s="7" t="str">
        <f t="shared" si="10"/>
        <v>10</v>
      </c>
    </row>
    <row r="199" spans="1:5" x14ac:dyDescent="0.25">
      <c r="A199" s="9" t="str">
        <f t="shared" si="11"/>
        <v>84 REQUEST MORE TEXT FIELDS - SEND DISC INFO</v>
      </c>
      <c r="B199" t="s">
        <v>200</v>
      </c>
      <c r="C199" s="7" t="str">
        <f t="shared" si="9"/>
        <v>10</v>
      </c>
      <c r="D199" s="8" t="s">
        <v>109</v>
      </c>
      <c r="E199" s="7" t="str">
        <f t="shared" si="10"/>
        <v>31</v>
      </c>
    </row>
    <row r="200" spans="1:5" x14ac:dyDescent="0.25">
      <c r="A200" s="9" t="str">
        <f t="shared" si="11"/>
        <v>01 MASTER REQUEST - SLAVE POLL</v>
      </c>
      <c r="B200" t="s">
        <v>18</v>
      </c>
      <c r="C200" s="7" t="str">
        <f t="shared" si="9"/>
        <v>10</v>
      </c>
      <c r="D200" s="8" t="s">
        <v>109</v>
      </c>
      <c r="E200" s="7" t="str">
        <f t="shared" si="10"/>
        <v>31</v>
      </c>
    </row>
    <row r="201" spans="1:5" x14ac:dyDescent="0.25">
      <c r="A201" s="9" t="str">
        <f t="shared" si="11"/>
        <v>01 MASTER REQUEST - SLAVE POLL</v>
      </c>
      <c r="B201" t="s">
        <v>18</v>
      </c>
      <c r="C201" s="7" t="str">
        <f t="shared" si="9"/>
        <v>10</v>
      </c>
      <c r="D201" s="8" t="s">
        <v>109</v>
      </c>
      <c r="E201" s="7" t="str">
        <f t="shared" si="10"/>
        <v>31</v>
      </c>
    </row>
    <row r="202" spans="1:5" x14ac:dyDescent="0.25">
      <c r="A202" s="9" t="str">
        <f t="shared" si="11"/>
        <v>97 DISC INFO - TRACKS: 15, MINS: 63, SECS: 56, DISC: 3</v>
      </c>
      <c r="B202" t="s">
        <v>213</v>
      </c>
      <c r="C202" s="7" t="str">
        <f t="shared" si="9"/>
        <v>31</v>
      </c>
      <c r="D202" s="8" t="s">
        <v>109</v>
      </c>
      <c r="E202" s="7" t="str">
        <f t="shared" si="10"/>
        <v>10</v>
      </c>
    </row>
    <row r="203" spans="1:5" x14ac:dyDescent="0.25">
      <c r="A203" s="9" t="str">
        <f t="shared" si="11"/>
        <v>84 REQUEST MORE TEXT FIELDS - SEND MAGAZINE INFO</v>
      </c>
      <c r="B203" t="s">
        <v>198</v>
      </c>
      <c r="C203" s="7" t="str">
        <f t="shared" si="9"/>
        <v>10</v>
      </c>
      <c r="D203" s="8" t="s">
        <v>109</v>
      </c>
      <c r="E203" s="7" t="str">
        <f t="shared" si="10"/>
        <v>31</v>
      </c>
    </row>
    <row r="204" spans="1:5" x14ac:dyDescent="0.25">
      <c r="A204" s="9" t="str">
        <f t="shared" si="11"/>
        <v>01 MASTER REQUEST - TIME POLL</v>
      </c>
      <c r="B204" t="s">
        <v>34</v>
      </c>
      <c r="C204" s="7" t="str">
        <f t="shared" si="9"/>
        <v>10</v>
      </c>
      <c r="D204" s="8" t="s">
        <v>109</v>
      </c>
      <c r="E204" s="7" t="str">
        <f t="shared" si="10"/>
        <v>31</v>
      </c>
    </row>
    <row r="205" spans="1:5" x14ac:dyDescent="0.25">
      <c r="A205" s="9" t="str">
        <f t="shared" si="11"/>
        <v>00 STATUS - IDLE</v>
      </c>
      <c r="B205" t="s">
        <v>206</v>
      </c>
      <c r="C205" s="7" t="str">
        <f t="shared" si="9"/>
        <v>31</v>
      </c>
      <c r="D205" s="8" t="s">
        <v>109</v>
      </c>
      <c r="E205" s="7" t="str">
        <f t="shared" si="10"/>
        <v>10</v>
      </c>
    </row>
    <row r="206" spans="1:5" x14ac:dyDescent="0.25">
      <c r="A206" s="9" t="str">
        <f t="shared" si="11"/>
        <v>84 REQUEST MORE TEXT FIELDS - SEND DISC INFO</v>
      </c>
      <c r="B206" t="s">
        <v>200</v>
      </c>
      <c r="C206" s="7" t="str">
        <f t="shared" si="9"/>
        <v>10</v>
      </c>
      <c r="D206" s="8" t="s">
        <v>109</v>
      </c>
      <c r="E206" s="7" t="str">
        <f t="shared" si="10"/>
        <v>31</v>
      </c>
    </row>
    <row r="207" spans="1:5" x14ac:dyDescent="0.25">
      <c r="A207" s="9" t="str">
        <f t="shared" si="11"/>
        <v>01 MASTER REQUEST - SLAVE POLL</v>
      </c>
      <c r="B207" t="s">
        <v>18</v>
      </c>
      <c r="C207" s="7" t="str">
        <f t="shared" si="9"/>
        <v>10</v>
      </c>
      <c r="D207" s="8" t="s">
        <v>109</v>
      </c>
      <c r="E207" s="7" t="str">
        <f t="shared" si="10"/>
        <v>31</v>
      </c>
    </row>
    <row r="208" spans="1:5" x14ac:dyDescent="0.25">
      <c r="A208" s="9" t="str">
        <f t="shared" si="11"/>
        <v>95 MAGAZINE INFO - CD1 YES, CD2 YES, CD3 NO, CD4 NO, CD5 NO, CD6 NO</v>
      </c>
      <c r="B208" t="s">
        <v>212</v>
      </c>
      <c r="C208" s="7" t="str">
        <f t="shared" si="9"/>
        <v>31</v>
      </c>
      <c r="D208" s="8" t="s">
        <v>109</v>
      </c>
      <c r="E208" s="7" t="str">
        <f t="shared" si="10"/>
        <v>10</v>
      </c>
    </row>
    <row r="209" spans="1:5" x14ac:dyDescent="0.25">
      <c r="A209" s="9" t="str">
        <f t="shared" si="11"/>
        <v>01 MASTER REQUEST - SLAVE POLL</v>
      </c>
      <c r="B209" t="s">
        <v>18</v>
      </c>
      <c r="C209" s="7" t="str">
        <f t="shared" si="9"/>
        <v>10</v>
      </c>
      <c r="D209" s="8" t="s">
        <v>109</v>
      </c>
      <c r="E209" s="7" t="str">
        <f t="shared" si="10"/>
        <v>31</v>
      </c>
    </row>
    <row r="210" spans="1:5" x14ac:dyDescent="0.25">
      <c r="A210" s="9" t="str">
        <f t="shared" si="11"/>
        <v>97 DISC INFO - TRACKS: 16, MINS: 76, SECS: 45, DISC: 3</v>
      </c>
      <c r="B210" t="s">
        <v>214</v>
      </c>
      <c r="C210" s="7" t="str">
        <f t="shared" si="9"/>
        <v>31</v>
      </c>
      <c r="D210" s="8" t="s">
        <v>109</v>
      </c>
      <c r="E210" s="7" t="str">
        <f t="shared" si="10"/>
        <v>10</v>
      </c>
    </row>
    <row r="211" spans="1:5" x14ac:dyDescent="0.25">
      <c r="A211" s="9" t="str">
        <f t="shared" si="11"/>
        <v>01 MASTER REQUEST - TIME POLL</v>
      </c>
      <c r="B211" t="s">
        <v>34</v>
      </c>
      <c r="C211" s="7" t="str">
        <f t="shared" si="9"/>
        <v>10</v>
      </c>
      <c r="D211" s="8" t="s">
        <v>109</v>
      </c>
      <c r="E211" s="7" t="str">
        <f t="shared" si="10"/>
        <v>31</v>
      </c>
    </row>
    <row r="212" spans="1:5" x14ac:dyDescent="0.25">
      <c r="A212" s="9" t="str">
        <f t="shared" si="11"/>
        <v>00 STATUS - IDLE</v>
      </c>
      <c r="B212" t="s">
        <v>206</v>
      </c>
      <c r="C212" s="7" t="str">
        <f t="shared" si="9"/>
        <v>31</v>
      </c>
      <c r="D212" s="8" t="s">
        <v>109</v>
      </c>
      <c r="E212" s="7" t="str">
        <f t="shared" si="10"/>
        <v>10</v>
      </c>
    </row>
    <row r="213" spans="1:5" x14ac:dyDescent="0.25">
      <c r="A213" s="9" t="str">
        <f t="shared" si="11"/>
        <v>84 REQUEST MORE TEXT FIELDS - SEND DISC INFO</v>
      </c>
      <c r="B213" t="s">
        <v>200</v>
      </c>
      <c r="C213" s="7" t="str">
        <f t="shared" si="9"/>
        <v>10</v>
      </c>
      <c r="D213" s="8" t="s">
        <v>109</v>
      </c>
      <c r="E213" s="7" t="str">
        <f t="shared" si="10"/>
        <v>31</v>
      </c>
    </row>
    <row r="214" spans="1:5" x14ac:dyDescent="0.25">
      <c r="A214" s="9" t="str">
        <f t="shared" si="11"/>
        <v>01 MASTER REQUEST - SLAVE POLL</v>
      </c>
      <c r="B214" t="s">
        <v>18</v>
      </c>
      <c r="C214" s="7" t="str">
        <f t="shared" si="9"/>
        <v>10</v>
      </c>
      <c r="D214" s="8" t="s">
        <v>109</v>
      </c>
      <c r="E214" s="7" t="str">
        <f t="shared" si="10"/>
        <v>31</v>
      </c>
    </row>
    <row r="215" spans="1:5" x14ac:dyDescent="0.25">
      <c r="A215" s="9" t="str">
        <f t="shared" si="11"/>
        <v>95 MAGAZINE INFO - CD1 YES, CD2 YES, CD3 NO, CD4 NO, CD5 NO, CD6 NO</v>
      </c>
      <c r="B215" t="s">
        <v>212</v>
      </c>
      <c r="C215" s="7" t="str">
        <f t="shared" si="9"/>
        <v>31</v>
      </c>
      <c r="D215" s="8" t="s">
        <v>109</v>
      </c>
      <c r="E215" s="7" t="str">
        <f t="shared" si="10"/>
        <v>10</v>
      </c>
    </row>
    <row r="216" spans="1:5" x14ac:dyDescent="0.25">
      <c r="A216" s="9" t="str">
        <f t="shared" si="11"/>
        <v>01 MASTER REQUEST - SLAVE POLL</v>
      </c>
      <c r="B216" t="s">
        <v>18</v>
      </c>
      <c r="C216" s="7" t="str">
        <f t="shared" si="9"/>
        <v>10</v>
      </c>
      <c r="D216" s="8" t="s">
        <v>109</v>
      </c>
      <c r="E216" s="7" t="str">
        <f t="shared" si="10"/>
        <v>31</v>
      </c>
    </row>
    <row r="217" spans="1:5" x14ac:dyDescent="0.25">
      <c r="A217" s="9" t="str">
        <f t="shared" si="11"/>
        <v>97 DISC INFO - TRACKS: 16, MINS: 76, SECS: 45, DISC: 3</v>
      </c>
      <c r="B217" t="s">
        <v>214</v>
      </c>
      <c r="C217" s="7" t="str">
        <f t="shared" si="9"/>
        <v>31</v>
      </c>
      <c r="D217" s="8" t="s">
        <v>109</v>
      </c>
      <c r="E217" s="7" t="str">
        <f t="shared" si="10"/>
        <v>10</v>
      </c>
    </row>
    <row r="218" spans="1:5" x14ac:dyDescent="0.25">
      <c r="A218" s="9" t="str">
        <f t="shared" si="11"/>
        <v>01 MASTER REQUEST - SLAVE POLL</v>
      </c>
      <c r="B218" t="s">
        <v>18</v>
      </c>
      <c r="C218" s="7" t="str">
        <f t="shared" si="9"/>
        <v>10</v>
      </c>
      <c r="D218" s="8" t="s">
        <v>109</v>
      </c>
      <c r="E218" s="7" t="str">
        <f t="shared" si="10"/>
        <v>31</v>
      </c>
    </row>
    <row r="219" spans="1:5" x14ac:dyDescent="0.25">
      <c r="A219" s="9" t="str">
        <f t="shared" si="11"/>
        <v>95 MAGAZINE INFO - CD1 YES, CD2 YES, CD3 YES, CD4 NO, CD5 NO, CD6 NO</v>
      </c>
      <c r="B219" t="s">
        <v>215</v>
      </c>
      <c r="C219" s="7" t="str">
        <f t="shared" si="9"/>
        <v>31</v>
      </c>
      <c r="D219" s="8" t="s">
        <v>109</v>
      </c>
      <c r="E219" s="7" t="str">
        <f t="shared" si="10"/>
        <v>70</v>
      </c>
    </row>
    <row r="220" spans="1:5" x14ac:dyDescent="0.25">
      <c r="A220" s="9" t="str">
        <f t="shared" si="11"/>
        <v>01 MASTER REQUEST - TIME POLL</v>
      </c>
      <c r="B220" t="s">
        <v>34</v>
      </c>
      <c r="C220" s="7" t="str">
        <f t="shared" si="9"/>
        <v>10</v>
      </c>
      <c r="D220" s="8" t="s">
        <v>109</v>
      </c>
      <c r="E220" s="7" t="str">
        <f t="shared" si="10"/>
        <v>31</v>
      </c>
    </row>
    <row r="221" spans="1:5" x14ac:dyDescent="0.25">
      <c r="A221" s="9" t="str">
        <f t="shared" si="11"/>
        <v>00 STATUS - IDLE</v>
      </c>
      <c r="B221" t="s">
        <v>206</v>
      </c>
      <c r="C221" s="7" t="str">
        <f t="shared" si="9"/>
        <v>31</v>
      </c>
      <c r="D221" s="8" t="s">
        <v>109</v>
      </c>
      <c r="E221" s="7" t="str">
        <f t="shared" si="10"/>
        <v>10</v>
      </c>
    </row>
    <row r="222" spans="1:5" x14ac:dyDescent="0.25">
      <c r="A222" s="9" t="str">
        <f t="shared" si="11"/>
        <v>01 MASTER REQUEST - SLAVE POLL</v>
      </c>
      <c r="B222" t="s">
        <v>18</v>
      </c>
      <c r="C222" s="7" t="str">
        <f t="shared" si="9"/>
        <v>10</v>
      </c>
      <c r="D222" s="8" t="s">
        <v>109</v>
      </c>
      <c r="E222" s="7" t="str">
        <f t="shared" si="10"/>
        <v>31</v>
      </c>
    </row>
    <row r="223" spans="1:5" x14ac:dyDescent="0.25">
      <c r="A223" s="9" t="str">
        <f t="shared" si="11"/>
        <v>95 MAGAZINE INFO - CD1 YES, CD2 YES, CD3 YES, CD4 NO, CD5 NO, CD6 NO</v>
      </c>
      <c r="B223" t="s">
        <v>216</v>
      </c>
      <c r="C223" s="7" t="str">
        <f t="shared" si="9"/>
        <v>31</v>
      </c>
      <c r="D223" s="8" t="s">
        <v>109</v>
      </c>
      <c r="E223" s="7" t="str">
        <f t="shared" si="10"/>
        <v>10</v>
      </c>
    </row>
    <row r="224" spans="1:5" x14ac:dyDescent="0.25">
      <c r="A224" s="9" t="str">
        <f t="shared" si="11"/>
        <v>01 MASTER REQUEST - SLAVE POLL</v>
      </c>
      <c r="B224" t="s">
        <v>18</v>
      </c>
      <c r="C224" s="7" t="str">
        <f t="shared" si="9"/>
        <v>10</v>
      </c>
      <c r="D224" s="8" t="s">
        <v>109</v>
      </c>
      <c r="E224" s="7" t="str">
        <f t="shared" si="10"/>
        <v>31</v>
      </c>
    </row>
    <row r="225" spans="1:5" x14ac:dyDescent="0.25">
      <c r="A225" s="9" t="str">
        <f t="shared" si="11"/>
        <v>97 DISC INFO - TRACKS: 16, MINS: 76, SECS: 45, DISC: 4</v>
      </c>
      <c r="B225" t="s">
        <v>217</v>
      </c>
      <c r="C225" s="7" t="str">
        <f t="shared" si="9"/>
        <v>31</v>
      </c>
      <c r="D225" s="8" t="s">
        <v>109</v>
      </c>
      <c r="E225" s="7" t="str">
        <f t="shared" si="10"/>
        <v>10</v>
      </c>
    </row>
    <row r="226" spans="1:5" x14ac:dyDescent="0.25">
      <c r="A226" s="9" t="str">
        <f t="shared" si="11"/>
        <v>84 REQUEST MORE TEXT FIELDS - SEND MAGAZINE INFO</v>
      </c>
      <c r="B226" t="s">
        <v>198</v>
      </c>
      <c r="C226" s="7" t="str">
        <f t="shared" si="9"/>
        <v>10</v>
      </c>
      <c r="D226" s="8" t="s">
        <v>109</v>
      </c>
      <c r="E226" s="7" t="str">
        <f t="shared" si="10"/>
        <v>31</v>
      </c>
    </row>
    <row r="227" spans="1:5" x14ac:dyDescent="0.25">
      <c r="A227" s="9" t="str">
        <f t="shared" si="11"/>
        <v>01 MASTER REQUEST - TIME POLL</v>
      </c>
      <c r="B227" t="s">
        <v>34</v>
      </c>
      <c r="C227" s="7" t="str">
        <f t="shared" si="9"/>
        <v>10</v>
      </c>
      <c r="D227" s="8" t="s">
        <v>109</v>
      </c>
      <c r="E227" s="7" t="str">
        <f t="shared" si="10"/>
        <v>31</v>
      </c>
    </row>
    <row r="228" spans="1:5" x14ac:dyDescent="0.25">
      <c r="A228" s="9" t="str">
        <f t="shared" si="11"/>
        <v>00 STATUS - IDLE</v>
      </c>
      <c r="B228" t="s">
        <v>206</v>
      </c>
      <c r="C228" s="7" t="str">
        <f t="shared" si="9"/>
        <v>31</v>
      </c>
      <c r="D228" s="8" t="s">
        <v>109</v>
      </c>
      <c r="E228" s="7" t="str">
        <f t="shared" si="10"/>
        <v>10</v>
      </c>
    </row>
    <row r="229" spans="1:5" x14ac:dyDescent="0.25">
      <c r="A229" s="9" t="str">
        <f t="shared" si="11"/>
        <v>84 REQUEST MORE TEXT FIELDS - SEND DISC INFO</v>
      </c>
      <c r="B229" t="s">
        <v>200</v>
      </c>
      <c r="C229" s="7" t="str">
        <f t="shared" si="9"/>
        <v>10</v>
      </c>
      <c r="D229" s="8" t="s">
        <v>109</v>
      </c>
      <c r="E229" s="7" t="str">
        <f t="shared" si="10"/>
        <v>31</v>
      </c>
    </row>
    <row r="230" spans="1:5" x14ac:dyDescent="0.25">
      <c r="A230" s="9" t="str">
        <f t="shared" si="11"/>
        <v>01 MASTER REQUEST - SLAVE POLL</v>
      </c>
      <c r="B230" t="s">
        <v>18</v>
      </c>
      <c r="C230" s="7" t="str">
        <f t="shared" si="9"/>
        <v>10</v>
      </c>
      <c r="D230" s="8" t="s">
        <v>109</v>
      </c>
      <c r="E230" s="7" t="str">
        <f t="shared" si="10"/>
        <v>31</v>
      </c>
    </row>
    <row r="231" spans="1:5" x14ac:dyDescent="0.25">
      <c r="A231" s="9" t="str">
        <f t="shared" si="11"/>
        <v>95 MAGAZINE INFO - CD1 YES, CD2 YES, CD3 YES, CD4 NO, CD5 NO, CD6 NO</v>
      </c>
      <c r="B231" t="s">
        <v>216</v>
      </c>
      <c r="C231" s="7" t="str">
        <f t="shared" si="9"/>
        <v>31</v>
      </c>
      <c r="D231" s="8" t="s">
        <v>109</v>
      </c>
      <c r="E231" s="7" t="str">
        <f t="shared" si="10"/>
        <v>10</v>
      </c>
    </row>
    <row r="232" spans="1:5" x14ac:dyDescent="0.25">
      <c r="A232" s="9" t="str">
        <f t="shared" si="11"/>
        <v>01 MASTER REQUEST - SLAVE POLL</v>
      </c>
      <c r="B232" t="s">
        <v>18</v>
      </c>
      <c r="C232" s="7" t="str">
        <f t="shared" si="9"/>
        <v>10</v>
      </c>
      <c r="D232" s="8" t="s">
        <v>109</v>
      </c>
      <c r="E232" s="7" t="str">
        <f t="shared" si="10"/>
        <v>31</v>
      </c>
    </row>
    <row r="233" spans="1:5" x14ac:dyDescent="0.25">
      <c r="A233" s="9" t="str">
        <f t="shared" si="11"/>
        <v>97 DISC INFO - TRACKS: 16, MINS: 76, SECS: 45, DISC: 4</v>
      </c>
      <c r="B233" t="s">
        <v>217</v>
      </c>
      <c r="C233" s="7" t="str">
        <f t="shared" si="9"/>
        <v>31</v>
      </c>
      <c r="D233" s="8" t="s">
        <v>109</v>
      </c>
      <c r="E233" s="7" t="str">
        <f t="shared" si="10"/>
        <v>10</v>
      </c>
    </row>
    <row r="234" spans="1:5" x14ac:dyDescent="0.25">
      <c r="A234" s="9" t="str">
        <f t="shared" si="11"/>
        <v>84 REQUEST MORE TEXT FIELDS - SEND MAGAZINE INFO</v>
      </c>
      <c r="B234" t="s">
        <v>198</v>
      </c>
      <c r="C234" s="7" t="str">
        <f t="shared" si="9"/>
        <v>10</v>
      </c>
      <c r="D234" s="8" t="s">
        <v>109</v>
      </c>
      <c r="E234" s="7" t="str">
        <f t="shared" si="10"/>
        <v>31</v>
      </c>
    </row>
    <row r="235" spans="1:5" x14ac:dyDescent="0.25">
      <c r="A235" s="9" t="str">
        <f t="shared" si="11"/>
        <v>01 MASTER REQUEST - TIME POLL</v>
      </c>
      <c r="B235" t="s">
        <v>34</v>
      </c>
      <c r="C235" s="7" t="str">
        <f t="shared" si="9"/>
        <v>10</v>
      </c>
      <c r="D235" s="8" t="s">
        <v>109</v>
      </c>
      <c r="E235" s="7" t="str">
        <f t="shared" si="10"/>
        <v>31</v>
      </c>
    </row>
    <row r="236" spans="1:5" x14ac:dyDescent="0.25">
      <c r="A236" s="9" t="str">
        <f t="shared" si="11"/>
        <v>00 STATUS - IDLE</v>
      </c>
      <c r="B236" t="s">
        <v>206</v>
      </c>
      <c r="C236" s="7" t="str">
        <f t="shared" si="9"/>
        <v>31</v>
      </c>
      <c r="D236" s="8" t="s">
        <v>109</v>
      </c>
      <c r="E236" s="7" t="str">
        <f t="shared" si="10"/>
        <v>10</v>
      </c>
    </row>
    <row r="237" spans="1:5" x14ac:dyDescent="0.25">
      <c r="A237" s="9" t="str">
        <f t="shared" si="11"/>
        <v>84 REQUEST MORE TEXT FIELDS - SEND DISC INFO</v>
      </c>
      <c r="B237" t="s">
        <v>200</v>
      </c>
      <c r="C237" s="7" t="str">
        <f t="shared" si="9"/>
        <v>10</v>
      </c>
      <c r="D237" s="8" t="s">
        <v>109</v>
      </c>
      <c r="E237" s="7" t="str">
        <f t="shared" si="10"/>
        <v>31</v>
      </c>
    </row>
    <row r="238" spans="1:5" x14ac:dyDescent="0.25">
      <c r="A238" s="9" t="str">
        <f t="shared" si="11"/>
        <v>01 MASTER REQUEST - SLAVE POLL</v>
      </c>
      <c r="B238" t="s">
        <v>18</v>
      </c>
      <c r="C238" s="7" t="str">
        <f t="shared" si="9"/>
        <v>10</v>
      </c>
      <c r="D238" s="8" t="s">
        <v>109</v>
      </c>
      <c r="E238" s="7" t="str">
        <f t="shared" si="10"/>
        <v>31</v>
      </c>
    </row>
    <row r="239" spans="1:5" x14ac:dyDescent="0.25">
      <c r="A239" s="9" t="str">
        <f t="shared" si="11"/>
        <v>95 MAGAZINE INFO - CD1 YES, CD2 YES, CD3 YES, CD4 NO, CD5 NO, CD6 NO</v>
      </c>
      <c r="B239" t="s">
        <v>216</v>
      </c>
      <c r="C239" s="7" t="str">
        <f t="shared" si="9"/>
        <v>31</v>
      </c>
      <c r="D239" s="8" t="s">
        <v>109</v>
      </c>
      <c r="E239" s="7" t="str">
        <f t="shared" si="10"/>
        <v>10</v>
      </c>
    </row>
    <row r="240" spans="1:5" x14ac:dyDescent="0.25">
      <c r="A240" s="9" t="str">
        <f t="shared" si="11"/>
        <v>01 MASTER REQUEST - SLAVE POLL</v>
      </c>
      <c r="B240" t="s">
        <v>18</v>
      </c>
      <c r="C240" s="7" t="str">
        <f t="shared" si="9"/>
        <v>10</v>
      </c>
      <c r="D240" s="8" t="s">
        <v>109</v>
      </c>
      <c r="E240" s="7" t="str">
        <f t="shared" si="10"/>
        <v>31</v>
      </c>
    </row>
    <row r="241" spans="1:5" x14ac:dyDescent="0.25">
      <c r="A241" s="9" t="str">
        <f t="shared" si="11"/>
        <v>97 DISC INFO - TRACKS: 16, MINS: 76, SECS: 45, DISC: 4</v>
      </c>
      <c r="B241" t="s">
        <v>217</v>
      </c>
      <c r="C241" s="7" t="str">
        <f t="shared" si="9"/>
        <v>31</v>
      </c>
      <c r="D241" s="8" t="s">
        <v>109</v>
      </c>
      <c r="E241" s="7" t="str">
        <f t="shared" si="10"/>
        <v>10</v>
      </c>
    </row>
    <row r="242" spans="1:5" x14ac:dyDescent="0.25">
      <c r="A242" s="9" t="str">
        <f t="shared" si="11"/>
        <v>84 REQUEST MORE TEXT FIELDS - SEND MAGAZINE INFO</v>
      </c>
      <c r="B242" t="s">
        <v>198</v>
      </c>
      <c r="C242" s="7" t="str">
        <f t="shared" si="9"/>
        <v>10</v>
      </c>
      <c r="D242" s="8" t="s">
        <v>109</v>
      </c>
      <c r="E242" s="7" t="str">
        <f t="shared" si="10"/>
        <v>31</v>
      </c>
    </row>
    <row r="243" spans="1:5" x14ac:dyDescent="0.25">
      <c r="A243" s="9" t="str">
        <f t="shared" si="11"/>
        <v>01 MASTER REQUEST - TIME POLL</v>
      </c>
      <c r="B243" t="s">
        <v>34</v>
      </c>
      <c r="C243" s="7" t="str">
        <f t="shared" si="9"/>
        <v>10</v>
      </c>
      <c r="D243" s="8" t="s">
        <v>109</v>
      </c>
      <c r="E243" s="7" t="str">
        <f t="shared" si="10"/>
        <v>31</v>
      </c>
    </row>
    <row r="244" spans="1:5" x14ac:dyDescent="0.25">
      <c r="A244" s="9" t="str">
        <f t="shared" si="11"/>
        <v>00 STATUS - IDLE</v>
      </c>
      <c r="B244" t="s">
        <v>206</v>
      </c>
      <c r="C244" s="7" t="str">
        <f t="shared" si="9"/>
        <v>31</v>
      </c>
      <c r="D244" s="8" t="s">
        <v>109</v>
      </c>
      <c r="E244" s="7" t="str">
        <f t="shared" si="10"/>
        <v>10</v>
      </c>
    </row>
    <row r="245" spans="1:5" x14ac:dyDescent="0.25">
      <c r="A245" s="9" t="str">
        <f t="shared" si="11"/>
        <v>84 REQUEST MORE TEXT FIELDS - SEND DISC INFO</v>
      </c>
      <c r="B245" t="s">
        <v>200</v>
      </c>
      <c r="C245" s="7" t="str">
        <f t="shared" si="9"/>
        <v>10</v>
      </c>
      <c r="D245" s="8" t="s">
        <v>109</v>
      </c>
      <c r="E245" s="7" t="str">
        <f t="shared" si="10"/>
        <v>31</v>
      </c>
    </row>
    <row r="246" spans="1:5" x14ac:dyDescent="0.25">
      <c r="A246" s="9" t="str">
        <f t="shared" si="11"/>
        <v>01 MASTER REQUEST - SLAVE POLL</v>
      </c>
      <c r="B246" t="s">
        <v>18</v>
      </c>
      <c r="C246" s="7" t="str">
        <f t="shared" si="9"/>
        <v>10</v>
      </c>
      <c r="D246" s="8" t="s">
        <v>109</v>
      </c>
      <c r="E246" s="7" t="str">
        <f t="shared" si="10"/>
        <v>31</v>
      </c>
    </row>
    <row r="247" spans="1:5" x14ac:dyDescent="0.25">
      <c r="A247" s="9" t="str">
        <f t="shared" si="11"/>
        <v>95 MAGAZINE INFO - CD1 YES, CD2 YES, CD3 YES, CD4 NO, CD5 NO, CD6 NO</v>
      </c>
      <c r="B247" t="s">
        <v>216</v>
      </c>
      <c r="C247" s="7" t="str">
        <f t="shared" si="9"/>
        <v>31</v>
      </c>
      <c r="D247" s="8" t="s">
        <v>109</v>
      </c>
      <c r="E247" s="7" t="str">
        <f t="shared" si="10"/>
        <v>10</v>
      </c>
    </row>
    <row r="248" spans="1:5" x14ac:dyDescent="0.25">
      <c r="A248" s="9" t="str">
        <f t="shared" si="11"/>
        <v>01 MASTER REQUEST - SLAVE POLL</v>
      </c>
      <c r="B248" t="s">
        <v>18</v>
      </c>
      <c r="C248" s="7" t="str">
        <f t="shared" si="9"/>
        <v>10</v>
      </c>
      <c r="D248" s="8" t="s">
        <v>109</v>
      </c>
      <c r="E248" s="7" t="str">
        <f t="shared" si="10"/>
        <v>31</v>
      </c>
    </row>
    <row r="249" spans="1:5" x14ac:dyDescent="0.25">
      <c r="A249" s="9" t="str">
        <f t="shared" si="11"/>
        <v>97 DISC INFO - TRACKS: 16, MINS: 76, SECS: 45, DISC: 4</v>
      </c>
      <c r="B249" t="s">
        <v>217</v>
      </c>
      <c r="C249" s="7" t="str">
        <f t="shared" si="9"/>
        <v>31</v>
      </c>
      <c r="D249" s="8" t="s">
        <v>109</v>
      </c>
      <c r="E249" s="7" t="str">
        <f t="shared" si="10"/>
        <v>10</v>
      </c>
    </row>
    <row r="250" spans="1:5" x14ac:dyDescent="0.25">
      <c r="A250" s="9" t="str">
        <f t="shared" si="11"/>
        <v>84 REQUEST MORE TEXT FIELDS - SEND MAGAZINE INFO</v>
      </c>
      <c r="B250" t="s">
        <v>198</v>
      </c>
      <c r="C250" s="7" t="str">
        <f t="shared" si="9"/>
        <v>10</v>
      </c>
      <c r="D250" s="8" t="s">
        <v>109</v>
      </c>
      <c r="E250" s="7" t="str">
        <f t="shared" si="10"/>
        <v>31</v>
      </c>
    </row>
    <row r="251" spans="1:5" x14ac:dyDescent="0.25">
      <c r="A251" s="9" t="str">
        <f t="shared" si="11"/>
        <v>01 MASTER REQUEST - TIME POLL</v>
      </c>
      <c r="B251" t="s">
        <v>34</v>
      </c>
      <c r="C251" s="7" t="str">
        <f t="shared" si="9"/>
        <v>10</v>
      </c>
      <c r="D251" s="8" t="s">
        <v>109</v>
      </c>
      <c r="E251" s="7" t="str">
        <f t="shared" si="10"/>
        <v>31</v>
      </c>
    </row>
    <row r="252" spans="1:5" x14ac:dyDescent="0.25">
      <c r="A252" s="9" t="str">
        <f t="shared" si="11"/>
        <v>00 STATUS - IDLE</v>
      </c>
      <c r="B252" t="s">
        <v>206</v>
      </c>
      <c r="C252" s="7" t="str">
        <f t="shared" si="9"/>
        <v>31</v>
      </c>
      <c r="D252" s="8" t="s">
        <v>109</v>
      </c>
      <c r="E252" s="7" t="str">
        <f t="shared" si="10"/>
        <v>10</v>
      </c>
    </row>
    <row r="253" spans="1:5" x14ac:dyDescent="0.25">
      <c r="A253" s="9" t="str">
        <f t="shared" si="11"/>
        <v>84 REQUEST MORE TEXT FIELDS - SEND DISC INFO</v>
      </c>
      <c r="B253" t="s">
        <v>200</v>
      </c>
      <c r="C253" s="7" t="str">
        <f t="shared" si="9"/>
        <v>10</v>
      </c>
      <c r="D253" s="8" t="s">
        <v>109</v>
      </c>
      <c r="E253" s="7" t="str">
        <f t="shared" si="10"/>
        <v>31</v>
      </c>
    </row>
    <row r="254" spans="1:5" x14ac:dyDescent="0.25">
      <c r="A254" s="9" t="str">
        <f t="shared" si="11"/>
        <v>01 MASTER REQUEST - SLAVE POLL</v>
      </c>
      <c r="B254" t="s">
        <v>18</v>
      </c>
      <c r="C254" s="7" t="str">
        <f t="shared" si="9"/>
        <v>10</v>
      </c>
      <c r="D254" s="8" t="s">
        <v>109</v>
      </c>
      <c r="E254" s="7" t="str">
        <f t="shared" si="10"/>
        <v>31</v>
      </c>
    </row>
    <row r="255" spans="1:5" x14ac:dyDescent="0.25">
      <c r="A255" s="9" t="str">
        <f t="shared" si="11"/>
        <v>95 MAGAZINE INFO - CD1 YES, CD2 YES, CD3 YES, CD4 NO, CD5 NO, CD6 NO</v>
      </c>
      <c r="B255" t="s">
        <v>216</v>
      </c>
      <c r="C255" s="7" t="str">
        <f t="shared" si="9"/>
        <v>31</v>
      </c>
      <c r="D255" s="8" t="s">
        <v>109</v>
      </c>
      <c r="E255" s="7" t="str">
        <f t="shared" si="10"/>
        <v>10</v>
      </c>
    </row>
    <row r="256" spans="1:5" x14ac:dyDescent="0.25">
      <c r="A256" s="9" t="str">
        <f t="shared" si="11"/>
        <v>97 DISC INFO - TRACKS: 16, MINS: 76, SECS: 45, DISC: 5</v>
      </c>
      <c r="B256" t="s">
        <v>218</v>
      </c>
      <c r="C256" s="7" t="str">
        <f t="shared" si="9"/>
        <v>31</v>
      </c>
      <c r="D256" s="8" t="s">
        <v>109</v>
      </c>
      <c r="E256" s="7" t="str">
        <f t="shared" si="10"/>
        <v>10</v>
      </c>
    </row>
    <row r="257" spans="1:5" x14ac:dyDescent="0.25">
      <c r="A257" s="9" t="str">
        <f t="shared" si="11"/>
        <v>84 REQUEST MORE TEXT FIELDS - SEND MAGAZINE INFO</v>
      </c>
      <c r="B257" t="s">
        <v>198</v>
      </c>
      <c r="C257" s="7" t="str">
        <f t="shared" si="9"/>
        <v>10</v>
      </c>
      <c r="D257" s="8" t="s">
        <v>109</v>
      </c>
      <c r="E257" s="7" t="str">
        <f t="shared" si="10"/>
        <v>31</v>
      </c>
    </row>
    <row r="258" spans="1:5" x14ac:dyDescent="0.25">
      <c r="A258" s="9" t="str">
        <f t="shared" si="11"/>
        <v>01 MASTER REQUEST - TIME POLL</v>
      </c>
      <c r="B258" t="s">
        <v>34</v>
      </c>
      <c r="C258" s="7" t="str">
        <f t="shared" ref="C258:C321" si="12">MID(B258,4,2)</f>
        <v>10</v>
      </c>
      <c r="D258" s="8" t="s">
        <v>109</v>
      </c>
      <c r="E258" s="7" t="str">
        <f t="shared" ref="E258:E321" si="13">MID(B258,1,2)</f>
        <v>31</v>
      </c>
    </row>
    <row r="259" spans="1:5" x14ac:dyDescent="0.25">
      <c r="A259" s="9" t="str">
        <f t="shared" ref="A259:A322" si="14">ParseUnilink(B259)</f>
        <v>00 STATUS - IDLE</v>
      </c>
      <c r="B259" t="s">
        <v>206</v>
      </c>
      <c r="C259" s="7" t="str">
        <f t="shared" si="12"/>
        <v>31</v>
      </c>
      <c r="D259" s="8" t="s">
        <v>109</v>
      </c>
      <c r="E259" s="7" t="str">
        <f t="shared" si="13"/>
        <v>10</v>
      </c>
    </row>
    <row r="260" spans="1:5" x14ac:dyDescent="0.25">
      <c r="A260" s="9" t="str">
        <f t="shared" si="14"/>
        <v>84 REQUEST MORE TEXT FIELDS - SEND DISC INFO</v>
      </c>
      <c r="B260" t="s">
        <v>200</v>
      </c>
      <c r="C260" s="7" t="str">
        <f t="shared" si="12"/>
        <v>10</v>
      </c>
      <c r="D260" s="8" t="s">
        <v>109</v>
      </c>
      <c r="E260" s="7" t="str">
        <f t="shared" si="13"/>
        <v>31</v>
      </c>
    </row>
    <row r="261" spans="1:5" x14ac:dyDescent="0.25">
      <c r="A261" s="9" t="str">
        <f t="shared" si="14"/>
        <v>95 MAGAZINE INFO - CD1 YES, CD2 YES, CD3 YES, CD4 NO, CD5 NO, CD6 NO</v>
      </c>
      <c r="B261" t="s">
        <v>216</v>
      </c>
      <c r="C261" s="7" t="str">
        <f t="shared" si="12"/>
        <v>31</v>
      </c>
      <c r="D261" s="8" t="s">
        <v>109</v>
      </c>
      <c r="E261" s="7" t="str">
        <f t="shared" si="13"/>
        <v>10</v>
      </c>
    </row>
    <row r="262" spans="1:5" x14ac:dyDescent="0.25">
      <c r="A262" s="9" t="str">
        <f t="shared" si="14"/>
        <v>01 MASTER REQUEST - SLAVE POLL</v>
      </c>
      <c r="B262" t="s">
        <v>18</v>
      </c>
      <c r="C262" s="7" t="str">
        <f t="shared" si="12"/>
        <v>10</v>
      </c>
      <c r="D262" s="8" t="s">
        <v>109</v>
      </c>
      <c r="E262" s="7" t="str">
        <f t="shared" si="13"/>
        <v>31</v>
      </c>
    </row>
    <row r="263" spans="1:5" x14ac:dyDescent="0.25">
      <c r="A263" s="9" t="str">
        <f t="shared" si="14"/>
        <v>97 DISC INFO - TRACKS: 16, MINS: 76, SECS: 45, DISC: 5</v>
      </c>
      <c r="B263" t="s">
        <v>218</v>
      </c>
      <c r="C263" s="7" t="str">
        <f t="shared" si="12"/>
        <v>31</v>
      </c>
      <c r="D263" s="8" t="s">
        <v>109</v>
      </c>
      <c r="E263" s="7" t="str">
        <f t="shared" si="13"/>
        <v>10</v>
      </c>
    </row>
    <row r="264" spans="1:5" x14ac:dyDescent="0.25">
      <c r="A264" s="9" t="str">
        <f t="shared" si="14"/>
        <v>84 REQUEST MORE TEXT FIELDS - SEND MAGAZINE INFO</v>
      </c>
      <c r="B264" t="s">
        <v>198</v>
      </c>
      <c r="C264" s="7" t="str">
        <f t="shared" si="12"/>
        <v>10</v>
      </c>
      <c r="D264" s="8" t="s">
        <v>109</v>
      </c>
      <c r="E264" s="7" t="str">
        <f t="shared" si="13"/>
        <v>31</v>
      </c>
    </row>
    <row r="265" spans="1:5" x14ac:dyDescent="0.25">
      <c r="A265" s="9" t="str">
        <f t="shared" si="14"/>
        <v>01 MASTER REQUEST - TIME POLL</v>
      </c>
      <c r="B265" t="s">
        <v>34</v>
      </c>
      <c r="C265" s="7" t="str">
        <f t="shared" si="12"/>
        <v>10</v>
      </c>
      <c r="D265" s="8" t="s">
        <v>109</v>
      </c>
      <c r="E265" s="7" t="str">
        <f t="shared" si="13"/>
        <v>31</v>
      </c>
    </row>
    <row r="266" spans="1:5" x14ac:dyDescent="0.25">
      <c r="A266" s="9" t="str">
        <f t="shared" si="14"/>
        <v>00 STATUS - IDLE</v>
      </c>
      <c r="B266" t="s">
        <v>206</v>
      </c>
      <c r="C266" s="7" t="str">
        <f t="shared" si="12"/>
        <v>31</v>
      </c>
      <c r="D266" s="8" t="s">
        <v>109</v>
      </c>
      <c r="E266" s="7" t="str">
        <f t="shared" si="13"/>
        <v>10</v>
      </c>
    </row>
    <row r="267" spans="1:5" x14ac:dyDescent="0.25">
      <c r="A267" s="9" t="str">
        <f t="shared" si="14"/>
        <v>84 REQUEST MORE TEXT FIELDS - SEND DISC INFO</v>
      </c>
      <c r="B267" t="s">
        <v>200</v>
      </c>
      <c r="C267" s="7" t="str">
        <f t="shared" si="12"/>
        <v>10</v>
      </c>
      <c r="D267" s="8" t="s">
        <v>109</v>
      </c>
      <c r="E267" s="7" t="str">
        <f t="shared" si="13"/>
        <v>31</v>
      </c>
    </row>
    <row r="268" spans="1:5" x14ac:dyDescent="0.25">
      <c r="A268" s="9" t="str">
        <f t="shared" si="14"/>
        <v>01 MASTER REQUEST - SLAVE POLL</v>
      </c>
      <c r="B268" t="s">
        <v>18</v>
      </c>
      <c r="C268" s="7" t="str">
        <f t="shared" si="12"/>
        <v>10</v>
      </c>
      <c r="D268" s="8" t="s">
        <v>109</v>
      </c>
      <c r="E268" s="7" t="str">
        <f t="shared" si="13"/>
        <v>31</v>
      </c>
    </row>
    <row r="269" spans="1:5" x14ac:dyDescent="0.25">
      <c r="A269" s="9" t="str">
        <f t="shared" si="14"/>
        <v>95 MAGAZINE INFO - CD1 YES, CD2 YES, CD3 YES, CD4 NO, CD5 NO, CD6 NO</v>
      </c>
      <c r="B269" t="s">
        <v>216</v>
      </c>
      <c r="C269" s="7" t="str">
        <f t="shared" si="12"/>
        <v>31</v>
      </c>
      <c r="D269" s="8" t="s">
        <v>109</v>
      </c>
      <c r="E269" s="7" t="str">
        <f t="shared" si="13"/>
        <v>10</v>
      </c>
    </row>
    <row r="270" spans="1:5" x14ac:dyDescent="0.25">
      <c r="A270" s="9" t="str">
        <f t="shared" si="14"/>
        <v>01 MASTER REQUEST - SLAVE POLL</v>
      </c>
      <c r="B270" t="s">
        <v>18</v>
      </c>
      <c r="C270" s="7" t="str">
        <f t="shared" si="12"/>
        <v>10</v>
      </c>
      <c r="D270" s="8" t="s">
        <v>109</v>
      </c>
      <c r="E270" s="7" t="str">
        <f t="shared" si="13"/>
        <v>31</v>
      </c>
    </row>
    <row r="271" spans="1:5" x14ac:dyDescent="0.25">
      <c r="A271" s="9" t="str">
        <f t="shared" si="14"/>
        <v>97 DISC INFO - TRACKS: 16, MINS: 76, SECS: 45, DISC: 5</v>
      </c>
      <c r="B271" t="s">
        <v>218</v>
      </c>
      <c r="C271" s="7" t="str">
        <f t="shared" si="12"/>
        <v>31</v>
      </c>
      <c r="D271" s="8" t="s">
        <v>109</v>
      </c>
      <c r="E271" s="7" t="str">
        <f t="shared" si="13"/>
        <v>10</v>
      </c>
    </row>
    <row r="272" spans="1:5" x14ac:dyDescent="0.25">
      <c r="A272" s="9" t="str">
        <f t="shared" si="14"/>
        <v>84 REQUEST MORE TEXT FIELDS - SEND MAGAZINE INFO</v>
      </c>
      <c r="B272" t="s">
        <v>198</v>
      </c>
      <c r="C272" s="7" t="str">
        <f t="shared" si="12"/>
        <v>10</v>
      </c>
      <c r="D272" s="8" t="s">
        <v>109</v>
      </c>
      <c r="E272" s="7" t="str">
        <f t="shared" si="13"/>
        <v>31</v>
      </c>
    </row>
    <row r="273" spans="1:5" x14ac:dyDescent="0.25">
      <c r="A273" s="9" t="str">
        <f t="shared" si="14"/>
        <v>01 MASTER REQUEST - TIME POLL</v>
      </c>
      <c r="B273" t="s">
        <v>34</v>
      </c>
      <c r="C273" s="7" t="str">
        <f t="shared" si="12"/>
        <v>10</v>
      </c>
      <c r="D273" s="8" t="s">
        <v>109</v>
      </c>
      <c r="E273" s="7" t="str">
        <f t="shared" si="13"/>
        <v>31</v>
      </c>
    </row>
    <row r="274" spans="1:5" x14ac:dyDescent="0.25">
      <c r="A274" s="9" t="str">
        <f t="shared" si="14"/>
        <v>84 REQUEST MORE TEXT FIELDS - SEND DISC INFO</v>
      </c>
      <c r="B274" t="s">
        <v>200</v>
      </c>
      <c r="C274" s="7" t="str">
        <f t="shared" si="12"/>
        <v>10</v>
      </c>
      <c r="D274" s="8" t="s">
        <v>109</v>
      </c>
      <c r="E274" s="7" t="str">
        <f t="shared" si="13"/>
        <v>31</v>
      </c>
    </row>
    <row r="275" spans="1:5" x14ac:dyDescent="0.25">
      <c r="A275" s="9" t="str">
        <f t="shared" si="14"/>
        <v>01 MASTER REQUEST - SLAVE POLL</v>
      </c>
      <c r="B275" t="s">
        <v>18</v>
      </c>
      <c r="C275" s="7" t="str">
        <f t="shared" si="12"/>
        <v>10</v>
      </c>
      <c r="D275" s="8" t="s">
        <v>109</v>
      </c>
      <c r="E275" s="7" t="str">
        <f t="shared" si="13"/>
        <v>31</v>
      </c>
    </row>
    <row r="276" spans="1:5" x14ac:dyDescent="0.25">
      <c r="A276" s="9" t="str">
        <f t="shared" si="14"/>
        <v>95 MAGAZINE INFO - CD1 YES, CD2 YES, CD3 YES, CD4 NO, CD5 NO, CD6 NO</v>
      </c>
      <c r="B276" t="s">
        <v>216</v>
      </c>
      <c r="C276" s="7" t="str">
        <f t="shared" si="12"/>
        <v>31</v>
      </c>
      <c r="D276" s="8" t="s">
        <v>109</v>
      </c>
      <c r="E276" s="7" t="str">
        <f t="shared" si="13"/>
        <v>10</v>
      </c>
    </row>
    <row r="277" spans="1:5" x14ac:dyDescent="0.25">
      <c r="A277" s="9" t="str">
        <f t="shared" si="14"/>
        <v>01 MASTER REQUEST - TIME POLL</v>
      </c>
      <c r="B277" t="s">
        <v>34</v>
      </c>
      <c r="C277" s="7" t="str">
        <f t="shared" si="12"/>
        <v>10</v>
      </c>
      <c r="D277" s="8" t="s">
        <v>109</v>
      </c>
      <c r="E277" s="7" t="str">
        <f t="shared" si="13"/>
        <v>31</v>
      </c>
    </row>
    <row r="278" spans="1:5" x14ac:dyDescent="0.25">
      <c r="A278" s="9" t="str">
        <f t="shared" si="14"/>
        <v>84 REQUEST MORE TEXT FIELDS - SEND DISC INFO</v>
      </c>
      <c r="B278" t="s">
        <v>200</v>
      </c>
      <c r="C278" s="7" t="str">
        <f t="shared" si="12"/>
        <v>10</v>
      </c>
      <c r="D278" s="8" t="s">
        <v>109</v>
      </c>
      <c r="E278" s="7" t="str">
        <f t="shared" si="13"/>
        <v>31</v>
      </c>
    </row>
    <row r="279" spans="1:5" x14ac:dyDescent="0.25">
      <c r="A279" s="9" t="str">
        <f t="shared" si="14"/>
        <v>01 MASTER REQUEST - SLAVE POLL</v>
      </c>
      <c r="B279" t="s">
        <v>18</v>
      </c>
      <c r="C279" s="7" t="str">
        <f t="shared" si="12"/>
        <v>10</v>
      </c>
      <c r="D279" s="8" t="s">
        <v>109</v>
      </c>
      <c r="E279" s="7" t="str">
        <f t="shared" si="13"/>
        <v>31</v>
      </c>
    </row>
    <row r="280" spans="1:5" x14ac:dyDescent="0.25">
      <c r="A280" s="9" t="str">
        <f t="shared" si="14"/>
        <v>95 MAGAZINE INFO - CD1 YES, CD2 YES, CD3 YES, CD4 NO, CD5 NO, CD6 NO</v>
      </c>
      <c r="B280" t="s">
        <v>216</v>
      </c>
      <c r="C280" s="7" t="str">
        <f t="shared" si="12"/>
        <v>31</v>
      </c>
      <c r="D280" s="8" t="s">
        <v>109</v>
      </c>
      <c r="E280" s="7" t="str">
        <f t="shared" si="13"/>
        <v>10</v>
      </c>
    </row>
    <row r="281" spans="1:5" x14ac:dyDescent="0.25">
      <c r="A281" s="9" t="str">
        <f t="shared" si="14"/>
        <v>01 MASTER REQUEST - SLAVE POLL</v>
      </c>
      <c r="B281" t="s">
        <v>18</v>
      </c>
      <c r="C281" s="7" t="str">
        <f t="shared" si="12"/>
        <v>10</v>
      </c>
      <c r="D281" s="8" t="s">
        <v>109</v>
      </c>
      <c r="E281" s="7" t="str">
        <f t="shared" si="13"/>
        <v>31</v>
      </c>
    </row>
    <row r="282" spans="1:5" x14ac:dyDescent="0.25">
      <c r="A282" s="9" t="str">
        <f t="shared" si="14"/>
        <v>97 DISC INFO - TRACKS: 16, MINS: 76, SECS: 45, DISC: 5</v>
      </c>
      <c r="B282" t="s">
        <v>218</v>
      </c>
      <c r="C282" s="7" t="str">
        <f t="shared" si="12"/>
        <v>31</v>
      </c>
      <c r="D282" s="8" t="s">
        <v>109</v>
      </c>
      <c r="E282" s="7" t="str">
        <f t="shared" si="13"/>
        <v>10</v>
      </c>
    </row>
    <row r="283" spans="1:5" x14ac:dyDescent="0.25">
      <c r="A283" s="9" t="str">
        <f t="shared" si="14"/>
        <v>84 REQUEST MORE TEXT FIELDS - SEND MAGAZINE INFO</v>
      </c>
      <c r="B283" t="s">
        <v>198</v>
      </c>
      <c r="C283" s="7" t="str">
        <f t="shared" si="12"/>
        <v>10</v>
      </c>
      <c r="D283" s="8" t="s">
        <v>109</v>
      </c>
      <c r="E283" s="7" t="str">
        <f t="shared" si="13"/>
        <v>31</v>
      </c>
    </row>
    <row r="284" spans="1:5" x14ac:dyDescent="0.25">
      <c r="A284" s="9" t="str">
        <f t="shared" si="14"/>
        <v>01 MASTER REQUEST - TIME POLL</v>
      </c>
      <c r="B284" t="s">
        <v>34</v>
      </c>
      <c r="C284" s="7" t="str">
        <f t="shared" si="12"/>
        <v>10</v>
      </c>
      <c r="D284" s="8" t="s">
        <v>109</v>
      </c>
      <c r="E284" s="7" t="str">
        <f t="shared" si="13"/>
        <v>31</v>
      </c>
    </row>
    <row r="285" spans="1:5" x14ac:dyDescent="0.25">
      <c r="A285" s="9" t="str">
        <f t="shared" si="14"/>
        <v>00 STATUS - IDLE</v>
      </c>
      <c r="B285" t="s">
        <v>206</v>
      </c>
      <c r="C285" s="7" t="str">
        <f t="shared" si="12"/>
        <v>31</v>
      </c>
      <c r="D285" s="8" t="s">
        <v>109</v>
      </c>
      <c r="E285" s="7" t="str">
        <f t="shared" si="13"/>
        <v>10</v>
      </c>
    </row>
    <row r="286" spans="1:5" x14ac:dyDescent="0.25">
      <c r="A286" s="9" t="str">
        <f t="shared" si="14"/>
        <v>84 REQUEST MORE TEXT FIELDS - SEND DISC INFO</v>
      </c>
      <c r="B286" t="s">
        <v>200</v>
      </c>
      <c r="C286" s="7" t="str">
        <f t="shared" si="12"/>
        <v>10</v>
      </c>
      <c r="D286" s="8" t="s">
        <v>109</v>
      </c>
      <c r="E286" s="7" t="str">
        <f t="shared" si="13"/>
        <v>31</v>
      </c>
    </row>
    <row r="287" spans="1:5" x14ac:dyDescent="0.25">
      <c r="A287" s="9" t="str">
        <f t="shared" si="14"/>
        <v>95 MAGAZINE INFO - CD1 YES, CD2 YES, CD3 YES, CD4 NO, CD5 NO, CD6 NO</v>
      </c>
      <c r="B287" t="s">
        <v>216</v>
      </c>
      <c r="C287" s="7" t="str">
        <f t="shared" si="12"/>
        <v>31</v>
      </c>
      <c r="D287" s="8" t="s">
        <v>109</v>
      </c>
      <c r="E287" s="7" t="str">
        <f t="shared" si="13"/>
        <v>10</v>
      </c>
    </row>
    <row r="288" spans="1:5" x14ac:dyDescent="0.25">
      <c r="A288" s="9" t="str">
        <f t="shared" si="14"/>
        <v>01 MASTER REQUEST - SLAVE POLL</v>
      </c>
      <c r="B288" t="s">
        <v>18</v>
      </c>
      <c r="C288" s="7" t="str">
        <f t="shared" si="12"/>
        <v>10</v>
      </c>
      <c r="D288" s="8" t="s">
        <v>109</v>
      </c>
      <c r="E288" s="7" t="str">
        <f t="shared" si="13"/>
        <v>31</v>
      </c>
    </row>
    <row r="289" spans="1:5" x14ac:dyDescent="0.25">
      <c r="A289" s="9" t="str">
        <f t="shared" si="14"/>
        <v>97 DISC INFO - TRACKS: 16, MINS: 76, SECS: 45, DISC: 6</v>
      </c>
      <c r="B289" t="s">
        <v>219</v>
      </c>
      <c r="C289" s="7" t="str">
        <f t="shared" si="12"/>
        <v>31</v>
      </c>
      <c r="D289" s="8" t="s">
        <v>109</v>
      </c>
      <c r="E289" s="7" t="str">
        <f t="shared" si="13"/>
        <v>10</v>
      </c>
    </row>
    <row r="290" spans="1:5" x14ac:dyDescent="0.25">
      <c r="A290" s="9" t="str">
        <f t="shared" si="14"/>
        <v>84 REQUEST MORE TEXT FIELDS - SEND MAGAZINE INFO</v>
      </c>
      <c r="B290" t="s">
        <v>198</v>
      </c>
      <c r="C290" s="7" t="str">
        <f t="shared" si="12"/>
        <v>10</v>
      </c>
      <c r="D290" s="8" t="s">
        <v>109</v>
      </c>
      <c r="E290" s="7" t="str">
        <f t="shared" si="13"/>
        <v>31</v>
      </c>
    </row>
    <row r="291" spans="1:5" x14ac:dyDescent="0.25">
      <c r="A291" s="9" t="str">
        <f t="shared" si="14"/>
        <v>01 MASTER REQUEST - TIME POLL</v>
      </c>
      <c r="B291" t="s">
        <v>34</v>
      </c>
      <c r="C291" s="7" t="str">
        <f t="shared" si="12"/>
        <v>10</v>
      </c>
      <c r="D291" s="8" t="s">
        <v>109</v>
      </c>
      <c r="E291" s="7" t="str">
        <f t="shared" si="13"/>
        <v>31</v>
      </c>
    </row>
    <row r="292" spans="1:5" x14ac:dyDescent="0.25">
      <c r="A292" s="9" t="str">
        <f t="shared" si="14"/>
        <v>00 STATUS - IDLE</v>
      </c>
      <c r="B292" t="s">
        <v>206</v>
      </c>
      <c r="C292" s="7" t="str">
        <f t="shared" si="12"/>
        <v>31</v>
      </c>
      <c r="D292" s="8" t="s">
        <v>109</v>
      </c>
      <c r="E292" s="7" t="str">
        <f t="shared" si="13"/>
        <v>10</v>
      </c>
    </row>
    <row r="293" spans="1:5" x14ac:dyDescent="0.25">
      <c r="A293" s="9" t="str">
        <f t="shared" si="14"/>
        <v>84 REQUEST MORE TEXT FIELDS - SEND DISC INFO</v>
      </c>
      <c r="B293" t="s">
        <v>200</v>
      </c>
      <c r="C293" s="7" t="str">
        <f t="shared" si="12"/>
        <v>10</v>
      </c>
      <c r="D293" s="8" t="s">
        <v>109</v>
      </c>
      <c r="E293" s="7" t="str">
        <f t="shared" si="13"/>
        <v>31</v>
      </c>
    </row>
    <row r="294" spans="1:5" x14ac:dyDescent="0.25">
      <c r="A294" s="9" t="str">
        <f t="shared" si="14"/>
        <v>01 MASTER REQUEST - SLAVE POLL</v>
      </c>
      <c r="B294" t="s">
        <v>18</v>
      </c>
      <c r="C294" s="7" t="str">
        <f t="shared" si="12"/>
        <v>10</v>
      </c>
      <c r="D294" s="8" t="s">
        <v>109</v>
      </c>
      <c r="E294" s="7" t="str">
        <f t="shared" si="13"/>
        <v>31</v>
      </c>
    </row>
    <row r="295" spans="1:5" x14ac:dyDescent="0.25">
      <c r="A295" s="9" t="str">
        <f t="shared" si="14"/>
        <v>95 MAGAZINE INFO - CD1 YES, CD2 YES, CD3 YES, CD4 NO, CD5 NO, CD6 NO</v>
      </c>
      <c r="B295" t="s">
        <v>216</v>
      </c>
      <c r="C295" s="7" t="str">
        <f t="shared" si="12"/>
        <v>31</v>
      </c>
      <c r="D295" s="8" t="s">
        <v>109</v>
      </c>
      <c r="E295" s="7" t="str">
        <f t="shared" si="13"/>
        <v>10</v>
      </c>
    </row>
    <row r="296" spans="1:5" x14ac:dyDescent="0.25">
      <c r="A296" s="9" t="str">
        <f t="shared" si="14"/>
        <v>01 MASTER REQUEST - SLAVE POLL</v>
      </c>
      <c r="B296" t="s">
        <v>18</v>
      </c>
      <c r="C296" s="7" t="str">
        <f t="shared" si="12"/>
        <v>10</v>
      </c>
      <c r="D296" s="8" t="s">
        <v>109</v>
      </c>
      <c r="E296" s="7" t="str">
        <f t="shared" si="13"/>
        <v>31</v>
      </c>
    </row>
    <row r="297" spans="1:5" x14ac:dyDescent="0.25">
      <c r="A297" s="9" t="str">
        <f t="shared" si="14"/>
        <v>97 DISC INFO - TRACKS: 16, MINS: 76, SECS: 45, DISC: 6</v>
      </c>
      <c r="B297" t="s">
        <v>219</v>
      </c>
      <c r="C297" s="7" t="str">
        <f t="shared" si="12"/>
        <v>31</v>
      </c>
      <c r="D297" s="8" t="s">
        <v>109</v>
      </c>
      <c r="E297" s="7" t="str">
        <f t="shared" si="13"/>
        <v>10</v>
      </c>
    </row>
    <row r="298" spans="1:5" x14ac:dyDescent="0.25">
      <c r="A298" s="9" t="str">
        <f t="shared" si="14"/>
        <v>84 REQUEST MORE TEXT FIELDS - SEND MAGAZINE INFO</v>
      </c>
      <c r="B298" t="s">
        <v>198</v>
      </c>
      <c r="C298" s="7" t="str">
        <f t="shared" si="12"/>
        <v>10</v>
      </c>
      <c r="D298" s="8" t="s">
        <v>109</v>
      </c>
      <c r="E298" s="7" t="str">
        <f t="shared" si="13"/>
        <v>31</v>
      </c>
    </row>
    <row r="299" spans="1:5" x14ac:dyDescent="0.25">
      <c r="A299" s="9" t="str">
        <f t="shared" si="14"/>
        <v>00 STATUS - IDLE</v>
      </c>
      <c r="B299" t="s">
        <v>206</v>
      </c>
      <c r="C299" s="7" t="str">
        <f t="shared" si="12"/>
        <v>31</v>
      </c>
      <c r="D299" s="8" t="s">
        <v>109</v>
      </c>
      <c r="E299" s="7" t="str">
        <f t="shared" si="13"/>
        <v>10</v>
      </c>
    </row>
    <row r="300" spans="1:5" x14ac:dyDescent="0.25">
      <c r="A300" s="9" t="str">
        <f t="shared" si="14"/>
        <v>84 REQUEST MORE TEXT FIELDS - SEND DISC INFO</v>
      </c>
      <c r="B300" t="s">
        <v>200</v>
      </c>
      <c r="C300" s="7" t="str">
        <f t="shared" si="12"/>
        <v>10</v>
      </c>
      <c r="D300" s="8" t="s">
        <v>109</v>
      </c>
      <c r="E300" s="7" t="str">
        <f t="shared" si="13"/>
        <v>31</v>
      </c>
    </row>
    <row r="301" spans="1:5" x14ac:dyDescent="0.25">
      <c r="A301" s="9" t="str">
        <f t="shared" si="14"/>
        <v>01 MASTER REQUEST - SLAVE POLL</v>
      </c>
      <c r="B301" t="s">
        <v>18</v>
      </c>
      <c r="C301" s="7" t="str">
        <f t="shared" si="12"/>
        <v>10</v>
      </c>
      <c r="D301" s="8" t="s">
        <v>109</v>
      </c>
      <c r="E301" s="7" t="str">
        <f t="shared" si="13"/>
        <v>31</v>
      </c>
    </row>
    <row r="302" spans="1:5" x14ac:dyDescent="0.25">
      <c r="A302" s="9" t="str">
        <f t="shared" si="14"/>
        <v>95 MAGAZINE INFO - CD1 YES, CD2 YES, CD3 YES, CD4 NO, CD5 NO, CD6 NO</v>
      </c>
      <c r="B302" t="s">
        <v>216</v>
      </c>
      <c r="C302" s="7" t="str">
        <f t="shared" si="12"/>
        <v>31</v>
      </c>
      <c r="D302" s="8" t="s">
        <v>109</v>
      </c>
      <c r="E302" s="7" t="str">
        <f t="shared" si="13"/>
        <v>10</v>
      </c>
    </row>
    <row r="303" spans="1:5" x14ac:dyDescent="0.25">
      <c r="A303" s="9" t="str">
        <f t="shared" si="14"/>
        <v>01 MASTER REQUEST - SLAVE POLL</v>
      </c>
      <c r="B303" t="s">
        <v>18</v>
      </c>
      <c r="C303" s="7" t="str">
        <f t="shared" si="12"/>
        <v>10</v>
      </c>
      <c r="D303" s="8" t="s">
        <v>109</v>
      </c>
      <c r="E303" s="7" t="str">
        <f t="shared" si="13"/>
        <v>31</v>
      </c>
    </row>
    <row r="304" spans="1:5" x14ac:dyDescent="0.25">
      <c r="A304" s="9" t="str">
        <f t="shared" si="14"/>
        <v>97 DISC INFO - TRACKS: 16, MINS: 76, SECS: 45, DISC: 6</v>
      </c>
      <c r="B304" t="s">
        <v>219</v>
      </c>
      <c r="C304" s="7" t="str">
        <f t="shared" si="12"/>
        <v>31</v>
      </c>
      <c r="D304" s="8" t="s">
        <v>109</v>
      </c>
      <c r="E304" s="7" t="str">
        <f t="shared" si="13"/>
        <v>10</v>
      </c>
    </row>
    <row r="305" spans="1:5" x14ac:dyDescent="0.25">
      <c r="A305" s="9" t="str">
        <f t="shared" si="14"/>
        <v>84 REQUEST MORE TEXT FIELDS - SEND MAGAZINE INFO</v>
      </c>
      <c r="B305" t="s">
        <v>198</v>
      </c>
      <c r="C305" s="7" t="str">
        <f t="shared" si="12"/>
        <v>10</v>
      </c>
      <c r="D305" s="8" t="s">
        <v>109</v>
      </c>
      <c r="E305" s="7" t="str">
        <f t="shared" si="13"/>
        <v>31</v>
      </c>
    </row>
    <row r="306" spans="1:5" x14ac:dyDescent="0.25">
      <c r="A306" s="9" t="str">
        <f t="shared" si="14"/>
        <v>01 MASTER REQUEST - TIME POLL</v>
      </c>
      <c r="B306" t="s">
        <v>34</v>
      </c>
      <c r="C306" s="7" t="str">
        <f t="shared" si="12"/>
        <v>10</v>
      </c>
      <c r="D306" s="8" t="s">
        <v>109</v>
      </c>
      <c r="E306" s="7" t="str">
        <f t="shared" si="13"/>
        <v>31</v>
      </c>
    </row>
    <row r="307" spans="1:5" x14ac:dyDescent="0.25">
      <c r="A307" s="9" t="str">
        <f t="shared" si="14"/>
        <v>00 STATUS - IDLE</v>
      </c>
      <c r="B307" t="s">
        <v>206</v>
      </c>
      <c r="C307" s="7" t="str">
        <f t="shared" si="12"/>
        <v>31</v>
      </c>
      <c r="D307" s="8" t="s">
        <v>109</v>
      </c>
      <c r="E307" s="7" t="str">
        <f t="shared" si="13"/>
        <v>10</v>
      </c>
    </row>
    <row r="308" spans="1:5" x14ac:dyDescent="0.25">
      <c r="A308" s="9" t="str">
        <f t="shared" si="14"/>
        <v>84 REQUEST MORE TEXT FIELDS - SEND DISC INFO</v>
      </c>
      <c r="B308" t="s">
        <v>200</v>
      </c>
      <c r="C308" s="7" t="str">
        <f t="shared" si="12"/>
        <v>10</v>
      </c>
      <c r="D308" s="8" t="s">
        <v>109</v>
      </c>
      <c r="E308" s="7" t="str">
        <f t="shared" si="13"/>
        <v>31</v>
      </c>
    </row>
    <row r="309" spans="1:5" x14ac:dyDescent="0.25">
      <c r="A309" s="9" t="str">
        <f t="shared" si="14"/>
        <v>01 MASTER REQUEST - SLAVE POLL</v>
      </c>
      <c r="B309" t="s">
        <v>18</v>
      </c>
      <c r="C309" s="7" t="str">
        <f t="shared" si="12"/>
        <v>10</v>
      </c>
      <c r="D309" s="8" t="s">
        <v>109</v>
      </c>
      <c r="E309" s="7" t="str">
        <f t="shared" si="13"/>
        <v>31</v>
      </c>
    </row>
    <row r="310" spans="1:5" x14ac:dyDescent="0.25">
      <c r="A310" s="9" t="str">
        <f t="shared" si="14"/>
        <v>95 MAGAZINE INFO - CD1 YES, CD2 YES, CD3 YES, CD4 NO, CD5 NO, CD6 NO</v>
      </c>
      <c r="B310" t="s">
        <v>216</v>
      </c>
      <c r="C310" s="7" t="str">
        <f t="shared" si="12"/>
        <v>31</v>
      </c>
      <c r="D310" s="8" t="s">
        <v>109</v>
      </c>
      <c r="E310" s="7" t="str">
        <f t="shared" si="13"/>
        <v>10</v>
      </c>
    </row>
    <row r="311" spans="1:5" x14ac:dyDescent="0.25">
      <c r="A311" s="9" t="str">
        <f t="shared" si="14"/>
        <v>01 MASTER REQUEST - SLAVE POLL</v>
      </c>
      <c r="B311" t="s">
        <v>18</v>
      </c>
      <c r="C311" s="7" t="str">
        <f t="shared" si="12"/>
        <v>10</v>
      </c>
      <c r="D311" s="8" t="s">
        <v>109</v>
      </c>
      <c r="E311" s="7" t="str">
        <f t="shared" si="13"/>
        <v>31</v>
      </c>
    </row>
    <row r="312" spans="1:5" x14ac:dyDescent="0.25">
      <c r="A312" s="9" t="str">
        <f t="shared" si="14"/>
        <v>97 DISC INFO - TRACKS: 16, MINS: 76, SECS: 45, DISC: 6</v>
      </c>
      <c r="B312" t="s">
        <v>219</v>
      </c>
      <c r="C312" s="7" t="str">
        <f t="shared" si="12"/>
        <v>31</v>
      </c>
      <c r="D312" s="8" t="s">
        <v>109</v>
      </c>
      <c r="E312" s="7" t="str">
        <f t="shared" si="13"/>
        <v>10</v>
      </c>
    </row>
    <row r="313" spans="1:5" x14ac:dyDescent="0.25">
      <c r="A313" s="9" t="str">
        <f t="shared" si="14"/>
        <v>01 MASTER REQUEST - TIME POLL</v>
      </c>
      <c r="B313" t="s">
        <v>34</v>
      </c>
      <c r="C313" s="7" t="str">
        <f t="shared" si="12"/>
        <v>10</v>
      </c>
      <c r="D313" s="8" t="s">
        <v>109</v>
      </c>
      <c r="E313" s="7" t="str">
        <f t="shared" si="13"/>
        <v>31</v>
      </c>
    </row>
    <row r="314" spans="1:5" x14ac:dyDescent="0.25">
      <c r="A314" s="9" t="str">
        <f t="shared" si="14"/>
        <v>00 STATUS - IDLE</v>
      </c>
      <c r="B314" t="s">
        <v>206</v>
      </c>
      <c r="C314" s="7" t="str">
        <f t="shared" si="12"/>
        <v>31</v>
      </c>
      <c r="D314" s="8" t="s">
        <v>109</v>
      </c>
      <c r="E314" s="7" t="str">
        <f t="shared" si="13"/>
        <v>10</v>
      </c>
    </row>
    <row r="315" spans="1:5" x14ac:dyDescent="0.25">
      <c r="A315" s="9" t="str">
        <f t="shared" si="14"/>
        <v>84 REQUEST MORE TEXT FIELDS - SEND DISC INFO</v>
      </c>
      <c r="B315" t="s">
        <v>200</v>
      </c>
      <c r="C315" s="7" t="str">
        <f t="shared" si="12"/>
        <v>10</v>
      </c>
      <c r="D315" s="8" t="s">
        <v>109</v>
      </c>
      <c r="E315" s="7" t="str">
        <f t="shared" si="13"/>
        <v>31</v>
      </c>
    </row>
    <row r="316" spans="1:5" x14ac:dyDescent="0.25">
      <c r="A316" s="9" t="str">
        <f t="shared" si="14"/>
        <v>01 MASTER REQUEST - SLAVE POLL</v>
      </c>
      <c r="B316" t="s">
        <v>18</v>
      </c>
      <c r="C316" s="7" t="str">
        <f t="shared" si="12"/>
        <v>10</v>
      </c>
      <c r="D316" s="8" t="s">
        <v>109</v>
      </c>
      <c r="E316" s="7" t="str">
        <f t="shared" si="13"/>
        <v>31</v>
      </c>
    </row>
    <row r="317" spans="1:5" x14ac:dyDescent="0.25">
      <c r="A317" s="9" t="str">
        <f t="shared" si="14"/>
        <v>84 REQUEST MORE TEXT FIELDS - SEND MAGAZINE INFO</v>
      </c>
      <c r="B317" t="s">
        <v>198</v>
      </c>
      <c r="C317" s="7" t="str">
        <f t="shared" si="12"/>
        <v>10</v>
      </c>
      <c r="D317" s="8" t="s">
        <v>109</v>
      </c>
      <c r="E317" s="7" t="str">
        <f t="shared" si="13"/>
        <v>31</v>
      </c>
    </row>
    <row r="318" spans="1:5" x14ac:dyDescent="0.25">
      <c r="A318" s="9" t="str">
        <f t="shared" si="14"/>
        <v>01 MASTER REQUEST - TIME POLL</v>
      </c>
      <c r="B318" t="s">
        <v>34</v>
      </c>
      <c r="C318" s="7" t="str">
        <f t="shared" si="12"/>
        <v>10</v>
      </c>
      <c r="D318" s="8" t="s">
        <v>109</v>
      </c>
      <c r="E318" s="7" t="str">
        <f t="shared" si="13"/>
        <v>31</v>
      </c>
    </row>
    <row r="319" spans="1:5" x14ac:dyDescent="0.25">
      <c r="A319" s="9" t="str">
        <f t="shared" si="14"/>
        <v>00 STATUS - IDLE</v>
      </c>
      <c r="B319" t="s">
        <v>206</v>
      </c>
      <c r="C319" s="7" t="str">
        <f t="shared" si="12"/>
        <v>31</v>
      </c>
      <c r="D319" s="8" t="s">
        <v>109</v>
      </c>
      <c r="E319" s="7" t="str">
        <f t="shared" si="13"/>
        <v>10</v>
      </c>
    </row>
    <row r="320" spans="1:5" x14ac:dyDescent="0.25">
      <c r="A320" s="9" t="str">
        <f t="shared" si="14"/>
        <v>84 REQUEST MORE TEXT FIELDS - SEND DISC INFO</v>
      </c>
      <c r="B320" t="s">
        <v>200</v>
      </c>
      <c r="C320" s="7" t="str">
        <f t="shared" si="12"/>
        <v>10</v>
      </c>
      <c r="D320" s="8" t="s">
        <v>109</v>
      </c>
      <c r="E320" s="7" t="str">
        <f t="shared" si="13"/>
        <v>31</v>
      </c>
    </row>
    <row r="321" spans="1:5" x14ac:dyDescent="0.25">
      <c r="A321" s="9" t="str">
        <f t="shared" si="14"/>
        <v>01 MASTER REQUEST - SLAVE POLL</v>
      </c>
      <c r="B321" t="s">
        <v>18</v>
      </c>
      <c r="C321" s="7" t="str">
        <f t="shared" si="12"/>
        <v>10</v>
      </c>
      <c r="D321" s="8" t="s">
        <v>109</v>
      </c>
      <c r="E321" s="7" t="str">
        <f t="shared" si="13"/>
        <v>31</v>
      </c>
    </row>
    <row r="322" spans="1:5" x14ac:dyDescent="0.25">
      <c r="A322" s="9" t="str">
        <f t="shared" si="14"/>
        <v>95 MAGAZINE INFO - CD1 YES, CD2 YES, CD3 YES, CD4 NO, CD5 NO, CD6 NO</v>
      </c>
      <c r="B322" t="s">
        <v>216</v>
      </c>
      <c r="C322" s="7" t="str">
        <f t="shared" ref="C322:C385" si="15">MID(B322,4,2)</f>
        <v>31</v>
      </c>
      <c r="D322" s="8" t="s">
        <v>109</v>
      </c>
      <c r="E322" s="7" t="str">
        <f t="shared" ref="E322:E385" si="16">MID(B322,1,2)</f>
        <v>10</v>
      </c>
    </row>
    <row r="323" spans="1:5" x14ac:dyDescent="0.25">
      <c r="A323" s="9" t="str">
        <f t="shared" ref="A323:A386" si="17">ParseUnilink(B323)</f>
        <v>01 MASTER REQUEST - SLAVE POLL</v>
      </c>
      <c r="B323" t="s">
        <v>18</v>
      </c>
      <c r="C323" s="7" t="str">
        <f t="shared" si="15"/>
        <v>10</v>
      </c>
      <c r="D323" s="8" t="s">
        <v>109</v>
      </c>
      <c r="E323" s="7" t="str">
        <f t="shared" si="16"/>
        <v>31</v>
      </c>
    </row>
    <row r="324" spans="1:5" x14ac:dyDescent="0.25">
      <c r="A324" s="9" t="str">
        <f t="shared" si="17"/>
        <v>97 DISC INFO - TRACKS: 16, MINS: 76, SECS: 45, DISC: 1</v>
      </c>
      <c r="B324" t="s">
        <v>220</v>
      </c>
      <c r="C324" s="7" t="str">
        <f t="shared" si="15"/>
        <v>31</v>
      </c>
      <c r="D324" s="8" t="s">
        <v>109</v>
      </c>
      <c r="E324" s="7" t="str">
        <f t="shared" si="16"/>
        <v>10</v>
      </c>
    </row>
    <row r="325" spans="1:5" x14ac:dyDescent="0.25">
      <c r="A325" s="9" t="str">
        <f t="shared" si="17"/>
        <v>84 REQUEST MORE TEXT FIELDS - SEND MAGAZINE INFO</v>
      </c>
      <c r="B325" t="s">
        <v>198</v>
      </c>
      <c r="C325" s="7" t="str">
        <f t="shared" si="15"/>
        <v>10</v>
      </c>
      <c r="D325" s="8" t="s">
        <v>109</v>
      </c>
      <c r="E325" s="7" t="str">
        <f t="shared" si="16"/>
        <v>31</v>
      </c>
    </row>
    <row r="326" spans="1:5" x14ac:dyDescent="0.25">
      <c r="A326" s="9" t="str">
        <f t="shared" si="17"/>
        <v>01 MASTER REQUEST - TIME POLL</v>
      </c>
      <c r="B326" t="s">
        <v>34</v>
      </c>
      <c r="C326" s="7" t="str">
        <f t="shared" si="15"/>
        <v>10</v>
      </c>
      <c r="D326" s="8" t="s">
        <v>109</v>
      </c>
      <c r="E326" s="7" t="str">
        <f t="shared" si="16"/>
        <v>31</v>
      </c>
    </row>
    <row r="327" spans="1:5" x14ac:dyDescent="0.25">
      <c r="A327" s="9" t="str">
        <f t="shared" si="17"/>
        <v>00 STATUS - IDLE</v>
      </c>
      <c r="B327" t="s">
        <v>206</v>
      </c>
      <c r="C327" s="7" t="str">
        <f t="shared" si="15"/>
        <v>31</v>
      </c>
      <c r="D327" s="8" t="s">
        <v>109</v>
      </c>
      <c r="E327" s="7" t="str">
        <f t="shared" si="16"/>
        <v>10</v>
      </c>
    </row>
    <row r="328" spans="1:5" x14ac:dyDescent="0.25">
      <c r="A328" s="9" t="str">
        <f t="shared" si="17"/>
        <v>84 REQUEST MORE TEXT FIELDS - SEND DISC INFO</v>
      </c>
      <c r="B328" t="s">
        <v>200</v>
      </c>
      <c r="C328" s="7" t="str">
        <f t="shared" si="15"/>
        <v>10</v>
      </c>
      <c r="D328" s="8" t="s">
        <v>109</v>
      </c>
      <c r="E328" s="7" t="str">
        <f t="shared" si="16"/>
        <v>31</v>
      </c>
    </row>
    <row r="329" spans="1:5" x14ac:dyDescent="0.25">
      <c r="A329" s="9" t="str">
        <f t="shared" si="17"/>
        <v>01 MASTER REQUEST - SLAVE POLL</v>
      </c>
      <c r="B329" t="s">
        <v>18</v>
      </c>
      <c r="C329" s="7" t="str">
        <f t="shared" si="15"/>
        <v>10</v>
      </c>
      <c r="D329" s="8" t="s">
        <v>109</v>
      </c>
      <c r="E329" s="7" t="str">
        <f t="shared" si="16"/>
        <v>31</v>
      </c>
    </row>
    <row r="330" spans="1:5" x14ac:dyDescent="0.25">
      <c r="A330" s="9" t="str">
        <f t="shared" si="17"/>
        <v>95 MAGAZINE INFO - CD1 YES, CD2 YES, CD3 YES, CD4 NO, CD5 NO, CD6 NO</v>
      </c>
      <c r="B330" t="s">
        <v>216</v>
      </c>
      <c r="C330" s="7" t="str">
        <f t="shared" si="15"/>
        <v>31</v>
      </c>
      <c r="D330" s="8" t="s">
        <v>109</v>
      </c>
      <c r="E330" s="7" t="str">
        <f t="shared" si="16"/>
        <v>10</v>
      </c>
    </row>
    <row r="331" spans="1:5" x14ac:dyDescent="0.25">
      <c r="A331" s="9" t="str">
        <f t="shared" si="17"/>
        <v>01 MASTER REQUEST - SLAVE POLL</v>
      </c>
      <c r="B331" t="s">
        <v>18</v>
      </c>
      <c r="C331" s="7" t="str">
        <f t="shared" si="15"/>
        <v>10</v>
      </c>
      <c r="D331" s="8" t="s">
        <v>109</v>
      </c>
      <c r="E331" s="7" t="str">
        <f t="shared" si="16"/>
        <v>31</v>
      </c>
    </row>
    <row r="332" spans="1:5" x14ac:dyDescent="0.25">
      <c r="A332" s="9" t="str">
        <f t="shared" si="17"/>
        <v>97 DISC INFO - TRACKS: 16, MINS: 76, SECS: 45, DISC: 1</v>
      </c>
      <c r="B332" t="s">
        <v>220</v>
      </c>
      <c r="C332" s="7" t="str">
        <f t="shared" si="15"/>
        <v>31</v>
      </c>
      <c r="D332" s="8" t="s">
        <v>109</v>
      </c>
      <c r="E332" s="7" t="str">
        <f t="shared" si="16"/>
        <v>10</v>
      </c>
    </row>
    <row r="333" spans="1:5" x14ac:dyDescent="0.25">
      <c r="A333" s="9" t="str">
        <f t="shared" si="17"/>
        <v>84 REQUEST MORE TEXT FIELDS - SEND MAGAZINE INFO</v>
      </c>
      <c r="B333" t="s">
        <v>198</v>
      </c>
      <c r="C333" s="7" t="str">
        <f t="shared" si="15"/>
        <v>10</v>
      </c>
      <c r="D333" s="8" t="s">
        <v>109</v>
      </c>
      <c r="E333" s="7" t="str">
        <f t="shared" si="16"/>
        <v>31</v>
      </c>
    </row>
    <row r="334" spans="1:5" x14ac:dyDescent="0.25">
      <c r="A334" s="9" t="str">
        <f t="shared" si="17"/>
        <v>01 MASTER REQUEST - TIME POLL</v>
      </c>
      <c r="B334" t="s">
        <v>34</v>
      </c>
      <c r="C334" s="7" t="str">
        <f t="shared" si="15"/>
        <v>10</v>
      </c>
      <c r="D334" s="8" t="s">
        <v>109</v>
      </c>
      <c r="E334" s="7" t="str">
        <f t="shared" si="16"/>
        <v>31</v>
      </c>
    </row>
    <row r="335" spans="1:5" x14ac:dyDescent="0.25">
      <c r="A335" s="9" t="str">
        <f t="shared" si="17"/>
        <v>00 STATUS - IDLE</v>
      </c>
      <c r="B335" t="s">
        <v>206</v>
      </c>
      <c r="C335" s="7" t="str">
        <f t="shared" si="15"/>
        <v>31</v>
      </c>
      <c r="D335" s="8" t="s">
        <v>109</v>
      </c>
      <c r="E335" s="7" t="str">
        <f t="shared" si="16"/>
        <v>10</v>
      </c>
    </row>
    <row r="336" spans="1:5" x14ac:dyDescent="0.25">
      <c r="A336" s="9" t="str">
        <f t="shared" si="17"/>
        <v>84 REQUEST MORE TEXT FIELDS - SEND DISC INFO</v>
      </c>
      <c r="B336" t="s">
        <v>200</v>
      </c>
      <c r="C336" s="7" t="str">
        <f t="shared" si="15"/>
        <v>10</v>
      </c>
      <c r="D336" s="8" t="s">
        <v>109</v>
      </c>
      <c r="E336" s="7" t="str">
        <f t="shared" si="16"/>
        <v>31</v>
      </c>
    </row>
    <row r="337" spans="1:5" x14ac:dyDescent="0.25">
      <c r="A337" s="9" t="str">
        <f t="shared" si="17"/>
        <v>01 MASTER REQUEST - SLAVE POLL</v>
      </c>
      <c r="B337" t="s">
        <v>18</v>
      </c>
      <c r="C337" s="7" t="str">
        <f t="shared" si="15"/>
        <v>10</v>
      </c>
      <c r="D337" s="8" t="s">
        <v>109</v>
      </c>
      <c r="E337" s="7" t="str">
        <f t="shared" si="16"/>
        <v>31</v>
      </c>
    </row>
    <row r="338" spans="1:5" x14ac:dyDescent="0.25">
      <c r="A338" s="9" t="str">
        <f t="shared" si="17"/>
        <v>95 MAGAZINE INFO - CD1 YES, CD2 YES, CD3 YES, CD4 NO, CD5 NO, CD6 NO</v>
      </c>
      <c r="B338" t="s">
        <v>216</v>
      </c>
      <c r="C338" s="7" t="str">
        <f t="shared" si="15"/>
        <v>31</v>
      </c>
      <c r="D338" s="8" t="s">
        <v>109</v>
      </c>
      <c r="E338" s="7" t="str">
        <f t="shared" si="16"/>
        <v>10</v>
      </c>
    </row>
    <row r="339" spans="1:5" x14ac:dyDescent="0.25">
      <c r="A339" s="9" t="str">
        <f t="shared" si="17"/>
        <v>01 MASTER REQUEST - SLAVE POLL</v>
      </c>
      <c r="B339" t="s">
        <v>18</v>
      </c>
      <c r="C339" s="7" t="str">
        <f t="shared" si="15"/>
        <v>10</v>
      </c>
      <c r="D339" s="8" t="s">
        <v>109</v>
      </c>
      <c r="E339" s="7" t="str">
        <f t="shared" si="16"/>
        <v>31</v>
      </c>
    </row>
    <row r="340" spans="1:5" x14ac:dyDescent="0.25">
      <c r="A340" s="9" t="str">
        <f t="shared" si="17"/>
        <v>97 DISC INFO - TRACKS: 16, MINS: 76, SECS: 45, DISC: 1</v>
      </c>
      <c r="B340" t="s">
        <v>220</v>
      </c>
      <c r="C340" s="7" t="str">
        <f t="shared" si="15"/>
        <v>31</v>
      </c>
      <c r="D340" s="8" t="s">
        <v>109</v>
      </c>
      <c r="E340" s="7" t="str">
        <f t="shared" si="16"/>
        <v>10</v>
      </c>
    </row>
    <row r="341" spans="1:5" x14ac:dyDescent="0.25">
      <c r="A341" s="9" t="str">
        <f t="shared" si="17"/>
        <v>01 MASTER REQUEST - SLAVE POLL</v>
      </c>
      <c r="B341" t="s">
        <v>18</v>
      </c>
      <c r="C341" s="7" t="str">
        <f t="shared" si="15"/>
        <v>10</v>
      </c>
      <c r="D341" s="8" t="s">
        <v>109</v>
      </c>
      <c r="E341" s="7" t="str">
        <f t="shared" si="16"/>
        <v>31</v>
      </c>
    </row>
    <row r="342" spans="1:5" x14ac:dyDescent="0.25">
      <c r="A342" s="9" t="str">
        <f t="shared" si="17"/>
        <v>00 STATUS - IDLE</v>
      </c>
      <c r="B342" t="s">
        <v>206</v>
      </c>
      <c r="C342" s="7" t="str">
        <f t="shared" si="15"/>
        <v>31</v>
      </c>
      <c r="D342" s="8" t="s">
        <v>109</v>
      </c>
      <c r="E342" s="7" t="str">
        <f t="shared" si="16"/>
        <v>10</v>
      </c>
    </row>
    <row r="343" spans="1:5" x14ac:dyDescent="0.25">
      <c r="A343" s="9" t="str">
        <f t="shared" si="17"/>
        <v>84 REQUEST MORE TEXT FIELDS - SEND MAGAZINE INFO</v>
      </c>
      <c r="B343" t="s">
        <v>198</v>
      </c>
      <c r="C343" s="7" t="str">
        <f t="shared" si="15"/>
        <v>10</v>
      </c>
      <c r="D343" s="8" t="s">
        <v>109</v>
      </c>
      <c r="E343" s="7" t="str">
        <f t="shared" si="16"/>
        <v>31</v>
      </c>
    </row>
    <row r="344" spans="1:5" x14ac:dyDescent="0.25">
      <c r="A344" s="9" t="str">
        <f t="shared" si="17"/>
        <v>01 MASTER REQUEST - TIME POLL</v>
      </c>
      <c r="B344" t="s">
        <v>34</v>
      </c>
      <c r="C344" s="7" t="str">
        <f t="shared" si="15"/>
        <v>10</v>
      </c>
      <c r="D344" s="8" t="s">
        <v>109</v>
      </c>
      <c r="E344" s="7" t="str">
        <f t="shared" si="16"/>
        <v>31</v>
      </c>
    </row>
    <row r="345" spans="1:5" x14ac:dyDescent="0.25">
      <c r="A345" s="9" t="str">
        <f t="shared" si="17"/>
        <v>00 STATUS - IDLE</v>
      </c>
      <c r="B345" t="s">
        <v>206</v>
      </c>
      <c r="C345" s="7" t="str">
        <f t="shared" si="15"/>
        <v>31</v>
      </c>
      <c r="D345" s="8" t="s">
        <v>109</v>
      </c>
      <c r="E345" s="7" t="str">
        <f t="shared" si="16"/>
        <v>10</v>
      </c>
    </row>
    <row r="346" spans="1:5" x14ac:dyDescent="0.25">
      <c r="A346" s="9" t="str">
        <f t="shared" si="17"/>
        <v>84 REQUEST MORE TEXT FIELDS - SEND DISC INFO</v>
      </c>
      <c r="B346" t="s">
        <v>200</v>
      </c>
      <c r="C346" s="7" t="str">
        <f t="shared" si="15"/>
        <v>10</v>
      </c>
      <c r="D346" s="8" t="s">
        <v>109</v>
      </c>
      <c r="E346" s="7" t="str">
        <f t="shared" si="16"/>
        <v>31</v>
      </c>
    </row>
    <row r="347" spans="1:5" x14ac:dyDescent="0.25">
      <c r="A347" s="9" t="str">
        <f t="shared" si="17"/>
        <v>01 MASTER REQUEST - SLAVE POLL</v>
      </c>
      <c r="B347" t="s">
        <v>18</v>
      </c>
      <c r="C347" s="7" t="str">
        <f t="shared" si="15"/>
        <v>10</v>
      </c>
      <c r="D347" s="8" t="s">
        <v>109</v>
      </c>
      <c r="E347" s="7" t="str">
        <f t="shared" si="16"/>
        <v>31</v>
      </c>
    </row>
    <row r="348" spans="1:5" x14ac:dyDescent="0.25">
      <c r="A348" s="9" t="str">
        <f t="shared" si="17"/>
        <v>95 MAGAZINE INFO - CD1 YES, CD2 YES, CD3 YES, CD4 NO, CD5 NO, CD6 NO</v>
      </c>
      <c r="B348" t="s">
        <v>216</v>
      </c>
      <c r="C348" s="7" t="str">
        <f t="shared" si="15"/>
        <v>31</v>
      </c>
      <c r="D348" s="8" t="s">
        <v>109</v>
      </c>
      <c r="E348" s="7" t="str">
        <f t="shared" si="16"/>
        <v>10</v>
      </c>
    </row>
    <row r="349" spans="1:5" x14ac:dyDescent="0.25">
      <c r="A349" s="9" t="str">
        <f t="shared" si="17"/>
        <v>01 MASTER REQUEST - SLAVE POLL</v>
      </c>
      <c r="B349" t="s">
        <v>18</v>
      </c>
      <c r="C349" s="7" t="str">
        <f t="shared" si="15"/>
        <v>10</v>
      </c>
      <c r="D349" s="8" t="s">
        <v>109</v>
      </c>
      <c r="E349" s="7" t="str">
        <f t="shared" si="16"/>
        <v>31</v>
      </c>
    </row>
    <row r="350" spans="1:5" x14ac:dyDescent="0.25">
      <c r="A350" s="9" t="str">
        <f t="shared" si="17"/>
        <v>97 DISC INFO - TRACKS: 16, MINS: 76, SECS: 45, DISC: 1</v>
      </c>
      <c r="B350" t="s">
        <v>220</v>
      </c>
      <c r="C350" s="7" t="str">
        <f t="shared" si="15"/>
        <v>31</v>
      </c>
      <c r="D350" s="8" t="s">
        <v>109</v>
      </c>
      <c r="E350" s="7" t="str">
        <f t="shared" si="16"/>
        <v>10</v>
      </c>
    </row>
    <row r="351" spans="1:5" x14ac:dyDescent="0.25">
      <c r="A351" s="9" t="str">
        <f t="shared" si="17"/>
        <v>84 REQUEST MORE TEXT FIELDS - SEND MAGAZINE INFO</v>
      </c>
      <c r="B351" t="s">
        <v>198</v>
      </c>
      <c r="C351" s="7" t="str">
        <f t="shared" si="15"/>
        <v>10</v>
      </c>
      <c r="D351" s="8" t="s">
        <v>109</v>
      </c>
      <c r="E351" s="7" t="str">
        <f t="shared" si="16"/>
        <v>31</v>
      </c>
    </row>
    <row r="352" spans="1:5" x14ac:dyDescent="0.25">
      <c r="A352" s="9" t="str">
        <f t="shared" si="17"/>
        <v>01 MASTER REQUEST - TIME POLL</v>
      </c>
      <c r="B352" t="s">
        <v>34</v>
      </c>
      <c r="C352" s="7" t="str">
        <f t="shared" si="15"/>
        <v>10</v>
      </c>
      <c r="D352" s="8" t="s">
        <v>109</v>
      </c>
      <c r="E352" s="7" t="str">
        <f t="shared" si="16"/>
        <v>31</v>
      </c>
    </row>
    <row r="353" spans="1:5" x14ac:dyDescent="0.25">
      <c r="A353" s="9" t="str">
        <f t="shared" si="17"/>
        <v>00 STATUS - IDLE</v>
      </c>
      <c r="B353" t="s">
        <v>206</v>
      </c>
      <c r="C353" s="7" t="str">
        <f t="shared" si="15"/>
        <v>31</v>
      </c>
      <c r="D353" s="8" t="s">
        <v>109</v>
      </c>
      <c r="E353" s="7" t="str">
        <f t="shared" si="16"/>
        <v>10</v>
      </c>
    </row>
    <row r="354" spans="1:5" x14ac:dyDescent="0.25">
      <c r="A354" s="9" t="str">
        <f t="shared" si="17"/>
        <v>84 REQUEST MORE TEXT FIELDS - SEND DISC INFO</v>
      </c>
      <c r="B354" t="s">
        <v>200</v>
      </c>
      <c r="C354" s="7" t="str">
        <f t="shared" si="15"/>
        <v>10</v>
      </c>
      <c r="D354" s="8" t="s">
        <v>109</v>
      </c>
      <c r="E354" s="7" t="str">
        <f t="shared" si="16"/>
        <v>31</v>
      </c>
    </row>
    <row r="355" spans="1:5" x14ac:dyDescent="0.25">
      <c r="A355" s="9" t="str">
        <f t="shared" si="17"/>
        <v>95 MAGAZINE INFO - CD1 YES, CD2 YES, CD3 YES, CD4 NO, CD5 NO, CD6 NO</v>
      </c>
      <c r="B355" t="s">
        <v>216</v>
      </c>
      <c r="C355" s="7" t="str">
        <f t="shared" si="15"/>
        <v>31</v>
      </c>
      <c r="D355" s="8" t="s">
        <v>109</v>
      </c>
      <c r="E355" s="7" t="str">
        <f t="shared" si="16"/>
        <v>10</v>
      </c>
    </row>
    <row r="356" spans="1:5" x14ac:dyDescent="0.25">
      <c r="A356" s="9" t="str">
        <f t="shared" si="17"/>
        <v>97 DISC INFO - TRACKS: 16, MINS: 76, SECS: 45, DISC: 1</v>
      </c>
      <c r="B356" t="s">
        <v>220</v>
      </c>
      <c r="C356" s="7" t="str">
        <f t="shared" si="15"/>
        <v>31</v>
      </c>
      <c r="D356" s="8" t="s">
        <v>109</v>
      </c>
      <c r="E356" s="7" t="str">
        <f t="shared" si="16"/>
        <v>10</v>
      </c>
    </row>
    <row r="357" spans="1:5" x14ac:dyDescent="0.25">
      <c r="A357" s="9" t="str">
        <f t="shared" si="17"/>
        <v>84 REQUEST MORE TEXT FIELDS - SEND MAGAZINE INFO</v>
      </c>
      <c r="B357" t="s">
        <v>198</v>
      </c>
      <c r="C357" s="7" t="str">
        <f t="shared" si="15"/>
        <v>10</v>
      </c>
      <c r="D357" s="8" t="s">
        <v>109</v>
      </c>
      <c r="E357" s="7" t="str">
        <f t="shared" si="16"/>
        <v>31</v>
      </c>
    </row>
    <row r="358" spans="1:5" x14ac:dyDescent="0.25">
      <c r="A358" s="9" t="str">
        <f t="shared" si="17"/>
        <v>01 MASTER REQUEST - TIME POLL</v>
      </c>
      <c r="B358" t="s">
        <v>34</v>
      </c>
      <c r="C358" s="7" t="str">
        <f t="shared" si="15"/>
        <v>10</v>
      </c>
      <c r="D358" s="8" t="s">
        <v>109</v>
      </c>
      <c r="E358" s="7" t="str">
        <f t="shared" si="16"/>
        <v>31</v>
      </c>
    </row>
    <row r="359" spans="1:5" x14ac:dyDescent="0.25">
      <c r="A359" s="9" t="str">
        <f t="shared" si="17"/>
        <v>00 STATUS - IDLE</v>
      </c>
      <c r="B359" t="s">
        <v>206</v>
      </c>
      <c r="C359" s="7" t="str">
        <f t="shared" si="15"/>
        <v>31</v>
      </c>
      <c r="D359" s="8" t="s">
        <v>109</v>
      </c>
      <c r="E359" s="7" t="str">
        <f t="shared" si="16"/>
        <v>10</v>
      </c>
    </row>
    <row r="360" spans="1:5" x14ac:dyDescent="0.25">
      <c r="A360" s="9" t="str">
        <f t="shared" si="17"/>
        <v>84 REQUEST MORE TEXT FIELDS - SEND DISC INFO</v>
      </c>
      <c r="B360" t="s">
        <v>200</v>
      </c>
      <c r="C360" s="7" t="str">
        <f t="shared" si="15"/>
        <v>10</v>
      </c>
      <c r="D360" s="8" t="s">
        <v>109</v>
      </c>
      <c r="E360" s="7" t="str">
        <f t="shared" si="16"/>
        <v>31</v>
      </c>
    </row>
    <row r="361" spans="1:5" x14ac:dyDescent="0.25">
      <c r="A361" s="9" t="str">
        <f t="shared" si="17"/>
        <v>01 MASTER REQUEST - SLAVE POLL</v>
      </c>
      <c r="B361" t="s">
        <v>18</v>
      </c>
      <c r="C361" s="7" t="str">
        <f t="shared" si="15"/>
        <v>10</v>
      </c>
      <c r="D361" s="8" t="s">
        <v>109</v>
      </c>
      <c r="E361" s="7" t="str">
        <f t="shared" si="16"/>
        <v>31</v>
      </c>
    </row>
    <row r="362" spans="1:5" x14ac:dyDescent="0.25">
      <c r="A362" s="9" t="str">
        <f t="shared" si="17"/>
        <v>95 MAGAZINE INFO - CD1 YES, CD2 YES, CD3 YES, CD4 NO, CD5 NO, CD6 NO</v>
      </c>
      <c r="B362" t="s">
        <v>216</v>
      </c>
      <c r="C362" s="7" t="str">
        <f t="shared" si="15"/>
        <v>31</v>
      </c>
      <c r="D362" s="8" t="s">
        <v>109</v>
      </c>
      <c r="E362" s="7" t="str">
        <f t="shared" si="16"/>
        <v>10</v>
      </c>
    </row>
    <row r="363" spans="1:5" x14ac:dyDescent="0.25">
      <c r="A363" s="9" t="str">
        <f t="shared" si="17"/>
        <v>01 MASTER REQUEST - SLAVE POLL</v>
      </c>
      <c r="B363" t="s">
        <v>18</v>
      </c>
      <c r="C363" s="7" t="str">
        <f t="shared" si="15"/>
        <v>10</v>
      </c>
      <c r="D363" s="8" t="s">
        <v>109</v>
      </c>
      <c r="E363" s="7" t="str">
        <f t="shared" si="16"/>
        <v>31</v>
      </c>
    </row>
    <row r="364" spans="1:5" x14ac:dyDescent="0.25">
      <c r="A364" s="9" t="str">
        <f t="shared" si="17"/>
        <v>97 DISC INFO - TRACKS: 16, MINS: 76, SECS: 45, DISC: 1</v>
      </c>
      <c r="B364" t="s">
        <v>220</v>
      </c>
      <c r="C364" s="7" t="str">
        <f t="shared" si="15"/>
        <v>31</v>
      </c>
      <c r="D364" s="8" t="s">
        <v>109</v>
      </c>
      <c r="E364" s="7" t="str">
        <f t="shared" si="16"/>
        <v>10</v>
      </c>
    </row>
    <row r="365" spans="1:5" x14ac:dyDescent="0.25">
      <c r="A365" s="9" t="str">
        <f t="shared" si="17"/>
        <v>84 REQUEST MORE TEXT FIELDS - SEND MAGAZINE INFO</v>
      </c>
      <c r="B365" t="s">
        <v>198</v>
      </c>
      <c r="C365" s="7" t="str">
        <f t="shared" si="15"/>
        <v>10</v>
      </c>
      <c r="D365" s="8" t="s">
        <v>109</v>
      </c>
      <c r="E365" s="7" t="str">
        <f t="shared" si="16"/>
        <v>31</v>
      </c>
    </row>
    <row r="366" spans="1:5" x14ac:dyDescent="0.25">
      <c r="A366" s="9" t="str">
        <f t="shared" si="17"/>
        <v>01 MASTER REQUEST - TIME POLL</v>
      </c>
      <c r="B366" t="s">
        <v>34</v>
      </c>
      <c r="C366" s="7" t="str">
        <f t="shared" si="15"/>
        <v>10</v>
      </c>
      <c r="D366" s="8" t="s">
        <v>109</v>
      </c>
      <c r="E366" s="7" t="str">
        <f t="shared" si="16"/>
        <v>31</v>
      </c>
    </row>
    <row r="367" spans="1:5" x14ac:dyDescent="0.25">
      <c r="A367" s="9" t="str">
        <f t="shared" si="17"/>
        <v>00 STATUS - IDLE</v>
      </c>
      <c r="B367" t="s">
        <v>206</v>
      </c>
      <c r="C367" s="7" t="str">
        <f t="shared" si="15"/>
        <v>31</v>
      </c>
      <c r="D367" s="8" t="s">
        <v>109</v>
      </c>
      <c r="E367" s="7" t="str">
        <f t="shared" si="16"/>
        <v>10</v>
      </c>
    </row>
    <row r="368" spans="1:5" x14ac:dyDescent="0.25">
      <c r="A368" s="9" t="str">
        <f t="shared" si="17"/>
        <v>84 REQUEST MORE TEXT FIELDS - SEND DISC INFO</v>
      </c>
      <c r="B368" t="s">
        <v>200</v>
      </c>
      <c r="C368" s="7" t="str">
        <f t="shared" si="15"/>
        <v>10</v>
      </c>
      <c r="D368" s="8" t="s">
        <v>109</v>
      </c>
      <c r="E368" s="7" t="str">
        <f t="shared" si="16"/>
        <v>31</v>
      </c>
    </row>
    <row r="369" spans="1:5" x14ac:dyDescent="0.25">
      <c r="A369" s="9" t="str">
        <f t="shared" si="17"/>
        <v>01 MASTER REQUEST - SLAVE POLL</v>
      </c>
      <c r="B369" t="s">
        <v>18</v>
      </c>
      <c r="C369" s="7" t="str">
        <f t="shared" si="15"/>
        <v>10</v>
      </c>
      <c r="D369" s="8" t="s">
        <v>109</v>
      </c>
      <c r="E369" s="7" t="str">
        <f t="shared" si="16"/>
        <v>31</v>
      </c>
    </row>
    <row r="370" spans="1:5" x14ac:dyDescent="0.25">
      <c r="A370" s="9" t="str">
        <f t="shared" si="17"/>
        <v>01 MASTER REQUEST - SLAVE POLL</v>
      </c>
      <c r="B370" t="s">
        <v>18</v>
      </c>
      <c r="C370" s="7" t="str">
        <f t="shared" si="15"/>
        <v>10</v>
      </c>
      <c r="D370" s="8" t="s">
        <v>109</v>
      </c>
      <c r="E370" s="7" t="str">
        <f t="shared" si="16"/>
        <v>31</v>
      </c>
    </row>
    <row r="371" spans="1:5" x14ac:dyDescent="0.25">
      <c r="A371" s="9" t="str">
        <f t="shared" si="17"/>
        <v>97 DISC INFO - TRACKS: 16, MINS: 76, SECS: 45, DISC: 1</v>
      </c>
      <c r="B371" t="s">
        <v>220</v>
      </c>
      <c r="C371" s="7" t="str">
        <f t="shared" si="15"/>
        <v>31</v>
      </c>
      <c r="D371" s="8" t="s">
        <v>109</v>
      </c>
      <c r="E371" s="7" t="str">
        <f t="shared" si="16"/>
        <v>10</v>
      </c>
    </row>
    <row r="372" spans="1:5" x14ac:dyDescent="0.25">
      <c r="A372" s="9" t="str">
        <f t="shared" si="17"/>
        <v>84 REQUEST MORE TEXT FIELDS - SEND MAGAZINE INFO</v>
      </c>
      <c r="B372" t="s">
        <v>198</v>
      </c>
      <c r="C372" s="7" t="str">
        <f t="shared" si="15"/>
        <v>10</v>
      </c>
      <c r="D372" s="8" t="s">
        <v>109</v>
      </c>
      <c r="E372" s="7" t="str">
        <f t="shared" si="16"/>
        <v>31</v>
      </c>
    </row>
    <row r="373" spans="1:5" x14ac:dyDescent="0.25">
      <c r="A373" s="9" t="str">
        <f t="shared" si="17"/>
        <v>01 MASTER REQUEST - TIME POLL</v>
      </c>
      <c r="B373" t="s">
        <v>34</v>
      </c>
      <c r="C373" s="7" t="str">
        <f t="shared" si="15"/>
        <v>10</v>
      </c>
      <c r="D373" s="8" t="s">
        <v>109</v>
      </c>
      <c r="E373" s="7" t="str">
        <f t="shared" si="16"/>
        <v>31</v>
      </c>
    </row>
    <row r="374" spans="1:5" x14ac:dyDescent="0.25">
      <c r="A374" s="9" t="str">
        <f t="shared" si="17"/>
        <v>00 STATUS - IDLE</v>
      </c>
      <c r="B374" t="s">
        <v>206</v>
      </c>
      <c r="C374" s="7" t="str">
        <f t="shared" si="15"/>
        <v>31</v>
      </c>
      <c r="D374" s="8" t="s">
        <v>109</v>
      </c>
      <c r="E374" s="7" t="str">
        <f t="shared" si="16"/>
        <v>10</v>
      </c>
    </row>
    <row r="375" spans="1:5" x14ac:dyDescent="0.25">
      <c r="A375" s="9" t="str">
        <f t="shared" si="17"/>
        <v>84 REQUEST MORE TEXT FIELDS - SEND DISC INFO</v>
      </c>
      <c r="B375" t="s">
        <v>200</v>
      </c>
      <c r="C375" s="7" t="str">
        <f t="shared" si="15"/>
        <v>10</v>
      </c>
      <c r="D375" s="8" t="s">
        <v>109</v>
      </c>
      <c r="E375" s="7" t="str">
        <f t="shared" si="16"/>
        <v>31</v>
      </c>
    </row>
    <row r="376" spans="1:5" x14ac:dyDescent="0.25">
      <c r="A376" s="9" t="str">
        <f t="shared" si="17"/>
        <v>01 MASTER REQUEST - SLAVE POLL</v>
      </c>
      <c r="B376" t="s">
        <v>18</v>
      </c>
      <c r="C376" s="7" t="str">
        <f t="shared" si="15"/>
        <v>10</v>
      </c>
      <c r="D376" s="8" t="s">
        <v>109</v>
      </c>
      <c r="E376" s="7" t="str">
        <f t="shared" si="16"/>
        <v>31</v>
      </c>
    </row>
    <row r="377" spans="1:5" x14ac:dyDescent="0.25">
      <c r="A377" s="9" t="str">
        <f t="shared" si="17"/>
        <v>95 MAGAZINE INFO - CD1 YES, CD2 YES, CD3 YES, CD4 NO, CD5 NO, CD6 NO</v>
      </c>
      <c r="B377" t="s">
        <v>216</v>
      </c>
      <c r="C377" s="7" t="str">
        <f t="shared" si="15"/>
        <v>31</v>
      </c>
      <c r="D377" s="8" t="s">
        <v>109</v>
      </c>
      <c r="E377" s="7" t="str">
        <f t="shared" si="16"/>
        <v>10</v>
      </c>
    </row>
    <row r="378" spans="1:5" x14ac:dyDescent="0.25">
      <c r="A378" s="9" t="str">
        <f t="shared" si="17"/>
        <v>97 DISC INFO - TRACKS: 16, MINS: 76, SECS: 45, DISC: 1</v>
      </c>
      <c r="B378" t="s">
        <v>220</v>
      </c>
      <c r="C378" s="7" t="str">
        <f t="shared" si="15"/>
        <v>31</v>
      </c>
      <c r="D378" s="8" t="s">
        <v>109</v>
      </c>
      <c r="E378" s="7" t="str">
        <f t="shared" si="16"/>
        <v>10</v>
      </c>
    </row>
    <row r="379" spans="1:5" x14ac:dyDescent="0.25">
      <c r="A379" s="9" t="str">
        <f t="shared" si="17"/>
        <v>84 REQUEST MORE TEXT FIELDS - SEND MAGAZINE INFO</v>
      </c>
      <c r="B379" t="s">
        <v>198</v>
      </c>
      <c r="C379" s="7" t="str">
        <f t="shared" si="15"/>
        <v>10</v>
      </c>
      <c r="D379" s="8" t="s">
        <v>109</v>
      </c>
      <c r="E379" s="7" t="str">
        <f t="shared" si="16"/>
        <v>31</v>
      </c>
    </row>
    <row r="380" spans="1:5" x14ac:dyDescent="0.25">
      <c r="A380" s="9" t="str">
        <f t="shared" si="17"/>
        <v>01 MASTER REQUEST - TIME POLL</v>
      </c>
      <c r="B380" t="s">
        <v>34</v>
      </c>
      <c r="C380" s="7" t="str">
        <f t="shared" si="15"/>
        <v>10</v>
      </c>
      <c r="D380" s="8" t="s">
        <v>109</v>
      </c>
      <c r="E380" s="7" t="str">
        <f t="shared" si="16"/>
        <v>31</v>
      </c>
    </row>
    <row r="381" spans="1:5" x14ac:dyDescent="0.25">
      <c r="A381" s="9" t="str">
        <f t="shared" si="17"/>
        <v>00 STATUS - IDLE</v>
      </c>
      <c r="B381" t="s">
        <v>206</v>
      </c>
      <c r="C381" s="7" t="str">
        <f t="shared" si="15"/>
        <v>31</v>
      </c>
      <c r="D381" s="8" t="s">
        <v>109</v>
      </c>
      <c r="E381" s="7" t="str">
        <f t="shared" si="16"/>
        <v>10</v>
      </c>
    </row>
    <row r="382" spans="1:5" x14ac:dyDescent="0.25">
      <c r="A382" s="9" t="str">
        <f t="shared" si="17"/>
        <v>84 REQUEST MORE TEXT FIELDS - SEND DISC INFO</v>
      </c>
      <c r="B382" t="s">
        <v>200</v>
      </c>
      <c r="C382" s="7" t="str">
        <f t="shared" si="15"/>
        <v>10</v>
      </c>
      <c r="D382" s="8" t="s">
        <v>109</v>
      </c>
      <c r="E382" s="7" t="str">
        <f t="shared" si="16"/>
        <v>31</v>
      </c>
    </row>
    <row r="383" spans="1:5" x14ac:dyDescent="0.25">
      <c r="A383" s="9" t="str">
        <f t="shared" si="17"/>
        <v>01 MASTER REQUEST - SLAVE POLL</v>
      </c>
      <c r="B383" t="s">
        <v>18</v>
      </c>
      <c r="C383" s="7" t="str">
        <f t="shared" si="15"/>
        <v>10</v>
      </c>
      <c r="D383" s="8" t="s">
        <v>109</v>
      </c>
      <c r="E383" s="7" t="str">
        <f t="shared" si="16"/>
        <v>31</v>
      </c>
    </row>
    <row r="384" spans="1:5" x14ac:dyDescent="0.25">
      <c r="A384" s="9" t="str">
        <f t="shared" si="17"/>
        <v>95 MAGAZINE INFO - CD1 YES, CD2 YES, CD3 YES, CD4 NO, CD5 NO, CD6 NO</v>
      </c>
      <c r="B384" t="s">
        <v>216</v>
      </c>
      <c r="C384" s="7" t="str">
        <f t="shared" si="15"/>
        <v>31</v>
      </c>
      <c r="D384" s="8" t="s">
        <v>109</v>
      </c>
      <c r="E384" s="7" t="str">
        <f t="shared" si="16"/>
        <v>10</v>
      </c>
    </row>
    <row r="385" spans="1:5" x14ac:dyDescent="0.25">
      <c r="A385" s="9" t="str">
        <f t="shared" si="17"/>
        <v>01 MASTER REQUEST - SLAVE POLL</v>
      </c>
      <c r="B385" t="s">
        <v>18</v>
      </c>
      <c r="C385" s="7" t="str">
        <f t="shared" si="15"/>
        <v>10</v>
      </c>
      <c r="D385" s="8" t="s">
        <v>109</v>
      </c>
      <c r="E385" s="7" t="str">
        <f t="shared" si="16"/>
        <v>31</v>
      </c>
    </row>
    <row r="386" spans="1:5" x14ac:dyDescent="0.25">
      <c r="A386" s="9" t="str">
        <f t="shared" si="17"/>
        <v>97 DISC INFO - TRACKS: 16, MINS: 76, SECS: 45, DISC: 1</v>
      </c>
      <c r="B386" t="s">
        <v>220</v>
      </c>
      <c r="C386" s="7" t="str">
        <f t="shared" ref="C386:C449" si="18">MID(B386,4,2)</f>
        <v>31</v>
      </c>
      <c r="D386" s="8" t="s">
        <v>109</v>
      </c>
      <c r="E386" s="7" t="str">
        <f t="shared" ref="E386:E449" si="19">MID(B386,1,2)</f>
        <v>10</v>
      </c>
    </row>
    <row r="387" spans="1:5" x14ac:dyDescent="0.25">
      <c r="A387" s="9" t="str">
        <f t="shared" ref="A387:A450" si="20">ParseUnilink(B387)</f>
        <v>01 MASTER REQUEST - TIME POLL</v>
      </c>
      <c r="B387" t="s">
        <v>34</v>
      </c>
      <c r="C387" s="7" t="str">
        <f t="shared" si="18"/>
        <v>10</v>
      </c>
      <c r="D387" s="8" t="s">
        <v>109</v>
      </c>
      <c r="E387" s="7" t="str">
        <f t="shared" si="19"/>
        <v>31</v>
      </c>
    </row>
    <row r="388" spans="1:5" x14ac:dyDescent="0.25">
      <c r="A388" s="9" t="str">
        <f t="shared" si="20"/>
        <v>00 STATUS - IDLE</v>
      </c>
      <c r="B388" t="s">
        <v>206</v>
      </c>
      <c r="C388" s="7" t="str">
        <f t="shared" si="18"/>
        <v>31</v>
      </c>
      <c r="D388" s="8" t="s">
        <v>109</v>
      </c>
      <c r="E388" s="7" t="str">
        <f t="shared" si="19"/>
        <v>10</v>
      </c>
    </row>
    <row r="389" spans="1:5" x14ac:dyDescent="0.25">
      <c r="A389" s="9" t="str">
        <f t="shared" si="20"/>
        <v>84 REQUEST MORE TEXT FIELDS - SEND DISC INFO</v>
      </c>
      <c r="B389" t="s">
        <v>200</v>
      </c>
      <c r="C389" s="7" t="str">
        <f t="shared" si="18"/>
        <v>10</v>
      </c>
      <c r="D389" s="8" t="s">
        <v>109</v>
      </c>
      <c r="E389" s="7" t="str">
        <f t="shared" si="19"/>
        <v>31</v>
      </c>
    </row>
    <row r="390" spans="1:5" x14ac:dyDescent="0.25">
      <c r="A390" s="9" t="str">
        <f t="shared" si="20"/>
        <v>01 MASTER REQUEST - SLAVE POLL</v>
      </c>
      <c r="B390" t="s">
        <v>18</v>
      </c>
      <c r="C390" s="7" t="str">
        <f t="shared" si="18"/>
        <v>10</v>
      </c>
      <c r="D390" s="8" t="s">
        <v>109</v>
      </c>
      <c r="E390" s="7" t="str">
        <f t="shared" si="19"/>
        <v>31</v>
      </c>
    </row>
    <row r="391" spans="1:5" x14ac:dyDescent="0.25">
      <c r="A391" s="9" t="str">
        <f t="shared" si="20"/>
        <v>84 REQUEST MORE TEXT FIELDS - SEND MAGAZINE INFO</v>
      </c>
      <c r="B391" t="s">
        <v>198</v>
      </c>
      <c r="C391" s="7" t="str">
        <f t="shared" si="18"/>
        <v>10</v>
      </c>
      <c r="D391" s="8" t="s">
        <v>109</v>
      </c>
      <c r="E391" s="7" t="str">
        <f t="shared" si="19"/>
        <v>31</v>
      </c>
    </row>
    <row r="392" spans="1:5" x14ac:dyDescent="0.25">
      <c r="A392" s="9" t="str">
        <f t="shared" si="20"/>
        <v>00 STATUS - IDLE</v>
      </c>
      <c r="B392" t="s">
        <v>206</v>
      </c>
      <c r="C392" s="7" t="str">
        <f t="shared" si="18"/>
        <v>31</v>
      </c>
      <c r="D392" s="8" t="s">
        <v>109</v>
      </c>
      <c r="E392" s="7" t="str">
        <f t="shared" si="19"/>
        <v>10</v>
      </c>
    </row>
    <row r="393" spans="1:5" x14ac:dyDescent="0.25">
      <c r="A393" s="9" t="str">
        <f t="shared" si="20"/>
        <v>84 REQUEST MORE TEXT FIELDS - SEND DISC INFO</v>
      </c>
      <c r="B393" t="s">
        <v>200</v>
      </c>
      <c r="C393" s="7" t="str">
        <f t="shared" si="18"/>
        <v>10</v>
      </c>
      <c r="D393" s="8" t="s">
        <v>109</v>
      </c>
      <c r="E393" s="7" t="str">
        <f t="shared" si="19"/>
        <v>31</v>
      </c>
    </row>
    <row r="394" spans="1:5" x14ac:dyDescent="0.25">
      <c r="A394" s="9" t="str">
        <f t="shared" si="20"/>
        <v>01 MASTER REQUEST - SLAVE POLL</v>
      </c>
      <c r="B394" t="s">
        <v>18</v>
      </c>
      <c r="C394" s="7" t="str">
        <f t="shared" si="18"/>
        <v>10</v>
      </c>
      <c r="D394" s="8" t="s">
        <v>109</v>
      </c>
      <c r="E394" s="7" t="str">
        <f t="shared" si="19"/>
        <v>31</v>
      </c>
    </row>
    <row r="395" spans="1:5" x14ac:dyDescent="0.25">
      <c r="A395" s="9" t="str">
        <f t="shared" si="20"/>
        <v>95 MAGAZINE INFO - CD1 YES, CD2 YES, CD3 YES, CD4 NO, CD5 NO, CD6 NO</v>
      </c>
      <c r="B395" t="s">
        <v>216</v>
      </c>
      <c r="C395" s="7" t="str">
        <f t="shared" si="18"/>
        <v>31</v>
      </c>
      <c r="D395" s="8" t="s">
        <v>109</v>
      </c>
      <c r="E395" s="7" t="str">
        <f t="shared" si="19"/>
        <v>10</v>
      </c>
    </row>
    <row r="396" spans="1:5" x14ac:dyDescent="0.25">
      <c r="A396" s="9" t="str">
        <f t="shared" si="20"/>
        <v>01 MASTER REQUEST - SLAVE POLL</v>
      </c>
      <c r="B396" t="s">
        <v>18</v>
      </c>
      <c r="C396" s="7" t="str">
        <f t="shared" si="18"/>
        <v>10</v>
      </c>
      <c r="D396" s="8" t="s">
        <v>109</v>
      </c>
      <c r="E396" s="7" t="str">
        <f t="shared" si="19"/>
        <v>31</v>
      </c>
    </row>
    <row r="397" spans="1:5" x14ac:dyDescent="0.25">
      <c r="A397" s="9" t="str">
        <f t="shared" si="20"/>
        <v>97 DISC INFO - TRACKS: 16, MINS: 76, SECS: 45, DISC: 1</v>
      </c>
      <c r="B397" t="s">
        <v>220</v>
      </c>
      <c r="C397" s="7" t="str">
        <f t="shared" si="18"/>
        <v>31</v>
      </c>
      <c r="D397" s="8" t="s">
        <v>109</v>
      </c>
      <c r="E397" s="7" t="str">
        <f t="shared" si="19"/>
        <v>10</v>
      </c>
    </row>
    <row r="398" spans="1:5" x14ac:dyDescent="0.25">
      <c r="A398" s="9" t="str">
        <f t="shared" si="20"/>
        <v>84 REQUEST MORE TEXT FIELDS - SEND MAGAZINE INFO</v>
      </c>
      <c r="B398" t="s">
        <v>198</v>
      </c>
      <c r="C398" s="7" t="str">
        <f t="shared" si="18"/>
        <v>10</v>
      </c>
      <c r="D398" s="8" t="s">
        <v>109</v>
      </c>
      <c r="E398" s="7" t="str">
        <f t="shared" si="19"/>
        <v>31</v>
      </c>
    </row>
    <row r="399" spans="1:5" x14ac:dyDescent="0.25">
      <c r="A399" s="9" t="str">
        <f t="shared" si="20"/>
        <v>00 STATUS - IDLE</v>
      </c>
      <c r="B399" t="s">
        <v>206</v>
      </c>
      <c r="C399" s="7" t="str">
        <f t="shared" si="18"/>
        <v>31</v>
      </c>
      <c r="D399" s="8" t="s">
        <v>109</v>
      </c>
      <c r="E399" s="7" t="str">
        <f t="shared" si="19"/>
        <v>10</v>
      </c>
    </row>
    <row r="400" spans="1:5" x14ac:dyDescent="0.25">
      <c r="A400" s="9" t="str">
        <f t="shared" si="20"/>
        <v>84 REQUEST MORE TEXT FIELDS - SEND DISC INFO</v>
      </c>
      <c r="B400" t="s">
        <v>200</v>
      </c>
      <c r="C400" s="7" t="str">
        <f t="shared" si="18"/>
        <v>10</v>
      </c>
      <c r="D400" s="8" t="s">
        <v>109</v>
      </c>
      <c r="E400" s="7" t="str">
        <f t="shared" si="19"/>
        <v>31</v>
      </c>
    </row>
    <row r="401" spans="1:5" x14ac:dyDescent="0.25">
      <c r="A401" s="9" t="str">
        <f t="shared" si="20"/>
        <v>01 MASTER REQUEST - SLAVE POLL</v>
      </c>
      <c r="B401" t="s">
        <v>18</v>
      </c>
      <c r="C401" s="7" t="str">
        <f t="shared" si="18"/>
        <v>10</v>
      </c>
      <c r="D401" s="8" t="s">
        <v>109</v>
      </c>
      <c r="E401" s="7" t="str">
        <f t="shared" si="19"/>
        <v>31</v>
      </c>
    </row>
    <row r="402" spans="1:5" x14ac:dyDescent="0.25">
      <c r="A402" s="9" t="str">
        <f t="shared" si="20"/>
        <v>95 MAGAZINE INFO - CD1 YES, CD2 YES, CD3 YES, CD4 NO, CD5 NO, CD6 NO</v>
      </c>
      <c r="B402" t="s">
        <v>216</v>
      </c>
      <c r="C402" s="7" t="str">
        <f t="shared" si="18"/>
        <v>31</v>
      </c>
      <c r="D402" s="8" t="s">
        <v>109</v>
      </c>
      <c r="E402" s="7" t="str">
        <f t="shared" si="19"/>
        <v>10</v>
      </c>
    </row>
    <row r="403" spans="1:5" x14ac:dyDescent="0.25">
      <c r="A403" s="9" t="str">
        <f t="shared" si="20"/>
        <v>01 MASTER REQUEST - SLAVE POLL</v>
      </c>
      <c r="B403" t="s">
        <v>18</v>
      </c>
      <c r="C403" s="7" t="str">
        <f t="shared" si="18"/>
        <v>10</v>
      </c>
      <c r="D403" s="8" t="s">
        <v>109</v>
      </c>
      <c r="E403" s="7" t="str">
        <f t="shared" si="19"/>
        <v>31</v>
      </c>
    </row>
    <row r="404" spans="1:5" x14ac:dyDescent="0.25">
      <c r="A404" s="9" t="str">
        <f t="shared" si="20"/>
        <v>97 DISC INFO - TRACKS: 16, MINS: 76, SECS: 45, DISC: 1</v>
      </c>
      <c r="B404" t="s">
        <v>220</v>
      </c>
      <c r="C404" s="7" t="str">
        <f t="shared" si="18"/>
        <v>31</v>
      </c>
      <c r="D404" s="8" t="s">
        <v>109</v>
      </c>
      <c r="E404" s="7" t="str">
        <f t="shared" si="19"/>
        <v>10</v>
      </c>
    </row>
    <row r="405" spans="1:5" x14ac:dyDescent="0.25">
      <c r="A405" s="9" t="str">
        <f t="shared" si="20"/>
        <v>87 WAKE FROM IDLE?</v>
      </c>
      <c r="B405" t="s">
        <v>221</v>
      </c>
      <c r="C405" s="7" t="str">
        <f t="shared" si="18"/>
        <v>10</v>
      </c>
      <c r="D405" s="8" t="s">
        <v>109</v>
      </c>
      <c r="E405" s="7" t="str">
        <f t="shared" si="19"/>
        <v>18</v>
      </c>
    </row>
    <row r="406" spans="1:5" x14ac:dyDescent="0.25">
      <c r="A406" s="9" t="str">
        <f t="shared" si="20"/>
        <v>F0 SWITCH SOURCE FROM 51 TO 31</v>
      </c>
      <c r="B406" t="s">
        <v>195</v>
      </c>
      <c r="C406" s="7" t="str">
        <f t="shared" si="18"/>
        <v>10</v>
      </c>
      <c r="D406" s="8" t="s">
        <v>109</v>
      </c>
      <c r="E406" s="7" t="str">
        <f t="shared" si="19"/>
        <v>18</v>
      </c>
    </row>
    <row r="407" spans="1:5" x14ac:dyDescent="0.25">
      <c r="A407" s="9" t="str">
        <f t="shared" si="20"/>
        <v>21 SWITCH TO CD?</v>
      </c>
      <c r="B407" t="s">
        <v>196</v>
      </c>
      <c r="C407" s="7" t="str">
        <f t="shared" si="18"/>
        <v>11</v>
      </c>
      <c r="D407" s="8" t="s">
        <v>109</v>
      </c>
      <c r="E407" s="7" t="str">
        <f t="shared" si="19"/>
        <v>31</v>
      </c>
    </row>
    <row r="408" spans="1:5" x14ac:dyDescent="0.25">
      <c r="A408" s="9" t="str">
        <f t="shared" si="20"/>
        <v>20 PLAY (FROM MASTER)</v>
      </c>
      <c r="B408" t="s">
        <v>197</v>
      </c>
      <c r="C408" s="7" t="str">
        <f t="shared" si="18"/>
        <v>10</v>
      </c>
      <c r="D408" s="8" t="s">
        <v>109</v>
      </c>
      <c r="E408" s="7" t="str">
        <f t="shared" si="19"/>
        <v>31</v>
      </c>
    </row>
    <row r="409" spans="1:5" x14ac:dyDescent="0.25">
      <c r="A409" s="9" t="str">
        <f t="shared" si="20"/>
        <v>08 KEY RELEASED</v>
      </c>
      <c r="B409" t="s">
        <v>205</v>
      </c>
      <c r="C409" s="7" t="str">
        <f t="shared" si="18"/>
        <v>11</v>
      </c>
      <c r="D409" s="8" t="s">
        <v>109</v>
      </c>
      <c r="E409" s="7" t="str">
        <f t="shared" si="19"/>
        <v>18</v>
      </c>
    </row>
    <row r="410" spans="1:5" x14ac:dyDescent="0.25">
      <c r="A410" s="9" t="str">
        <f t="shared" si="20"/>
        <v>84 REQUEST MORE TEXT FIELDS - SEND MAGAZINE INFO</v>
      </c>
      <c r="B410" t="s">
        <v>198</v>
      </c>
      <c r="C410" s="7" t="str">
        <f t="shared" si="18"/>
        <v>10</v>
      </c>
      <c r="D410" s="8" t="s">
        <v>109</v>
      </c>
      <c r="E410" s="7" t="str">
        <f t="shared" si="19"/>
        <v>31</v>
      </c>
    </row>
    <row r="411" spans="1:5" x14ac:dyDescent="0.25">
      <c r="A411" s="9" t="str">
        <f t="shared" si="20"/>
        <v>01 MASTER REQUEST - TIME POLL</v>
      </c>
      <c r="B411" t="s">
        <v>34</v>
      </c>
      <c r="C411" s="7" t="str">
        <f t="shared" si="18"/>
        <v>10</v>
      </c>
      <c r="D411" s="8" t="s">
        <v>109</v>
      </c>
      <c r="E411" s="7" t="str">
        <f t="shared" si="19"/>
        <v>31</v>
      </c>
    </row>
    <row r="412" spans="1:5" x14ac:dyDescent="0.25">
      <c r="A412" s="9" t="str">
        <f t="shared" si="20"/>
        <v>00 STATUS - CHANGED CD</v>
      </c>
      <c r="B412" t="s">
        <v>204</v>
      </c>
      <c r="C412" s="7" t="str">
        <f t="shared" si="18"/>
        <v>31</v>
      </c>
      <c r="D412" s="8" t="s">
        <v>109</v>
      </c>
      <c r="E412" s="7" t="str">
        <f t="shared" si="19"/>
        <v>10</v>
      </c>
    </row>
    <row r="413" spans="1:5" x14ac:dyDescent="0.25">
      <c r="A413" s="9" t="str">
        <f t="shared" si="20"/>
        <v>84 REQUEST MORE TEXT FIELDS - SEND DISC INFO</v>
      </c>
      <c r="B413" t="s">
        <v>200</v>
      </c>
      <c r="C413" s="7" t="str">
        <f t="shared" si="18"/>
        <v>10</v>
      </c>
      <c r="D413" s="8" t="s">
        <v>109</v>
      </c>
      <c r="E413" s="7" t="str">
        <f t="shared" si="19"/>
        <v>31</v>
      </c>
    </row>
    <row r="414" spans="1:5" x14ac:dyDescent="0.25">
      <c r="A414" s="9" t="str">
        <f t="shared" si="20"/>
        <v>01 MASTER REQUEST - SLAVE POLL</v>
      </c>
      <c r="B414" t="s">
        <v>18</v>
      </c>
      <c r="C414" s="7" t="str">
        <f t="shared" si="18"/>
        <v>10</v>
      </c>
      <c r="D414" s="8" t="s">
        <v>109</v>
      </c>
      <c r="E414" s="7" t="str">
        <f t="shared" si="19"/>
        <v>31</v>
      </c>
    </row>
    <row r="415" spans="1:5" x14ac:dyDescent="0.25">
      <c r="A415" s="9" t="str">
        <f t="shared" si="20"/>
        <v>95 MAGAZINE INFO - CD1 YES, CD2 YES, CD3 YES, CD4 NO, CD5 NO, CD6 NO</v>
      </c>
      <c r="B415" t="s">
        <v>216</v>
      </c>
      <c r="C415" s="7" t="str">
        <f t="shared" si="18"/>
        <v>31</v>
      </c>
      <c r="D415" s="8" t="s">
        <v>109</v>
      </c>
      <c r="E415" s="7" t="str">
        <f t="shared" si="19"/>
        <v>10</v>
      </c>
    </row>
    <row r="416" spans="1:5" x14ac:dyDescent="0.25">
      <c r="A416" s="9" t="str">
        <f t="shared" si="20"/>
        <v>01 MASTER REQUEST - SLAVE POLL</v>
      </c>
      <c r="B416" t="s">
        <v>18</v>
      </c>
      <c r="C416" s="7" t="str">
        <f t="shared" si="18"/>
        <v>10</v>
      </c>
      <c r="D416" s="8" t="s">
        <v>109</v>
      </c>
      <c r="E416" s="7" t="str">
        <f t="shared" si="19"/>
        <v>31</v>
      </c>
    </row>
    <row r="417" spans="1:5" x14ac:dyDescent="0.25">
      <c r="A417" s="9" t="str">
        <f t="shared" si="20"/>
        <v>9C AFTER DISC CHANGE TO MASTER - Disc number: 1</v>
      </c>
      <c r="B417" t="s">
        <v>222</v>
      </c>
      <c r="C417" s="7" t="str">
        <f t="shared" si="18"/>
        <v>31</v>
      </c>
      <c r="D417" s="8" t="s">
        <v>109</v>
      </c>
      <c r="E417" s="7" t="str">
        <f t="shared" si="19"/>
        <v>90</v>
      </c>
    </row>
    <row r="418" spans="1:5" x14ac:dyDescent="0.25">
      <c r="A418" s="9" t="str">
        <f t="shared" si="20"/>
        <v>97 DISC INFO - TRACKS: 16, MINS: 36, SECS: 45, DISC: 1</v>
      </c>
      <c r="B418" t="s">
        <v>223</v>
      </c>
      <c r="C418" s="7" t="str">
        <f t="shared" si="18"/>
        <v>31</v>
      </c>
      <c r="D418" s="8" t="s">
        <v>109</v>
      </c>
      <c r="E418" s="7" t="str">
        <f t="shared" si="19"/>
        <v>10</v>
      </c>
    </row>
    <row r="419" spans="1:5" x14ac:dyDescent="0.25">
      <c r="A419" s="9" t="str">
        <f t="shared" si="20"/>
        <v>01 MASTER REQUEST - SLAVE POLL</v>
      </c>
      <c r="B419" t="s">
        <v>18</v>
      </c>
      <c r="C419" s="7" t="str">
        <f t="shared" si="18"/>
        <v>10</v>
      </c>
      <c r="D419" s="8" t="s">
        <v>109</v>
      </c>
      <c r="E419" s="7" t="str">
        <f t="shared" si="19"/>
        <v>31</v>
      </c>
    </row>
    <row r="420" spans="1:5" x14ac:dyDescent="0.25">
      <c r="A420" s="9" t="str">
        <f t="shared" si="20"/>
        <v>01 MASTER REQUEST - SLAVE POLL</v>
      </c>
      <c r="B420" t="s">
        <v>18</v>
      </c>
      <c r="C420" s="7" t="str">
        <f t="shared" si="18"/>
        <v>10</v>
      </c>
      <c r="D420" s="8" t="s">
        <v>109</v>
      </c>
      <c r="E420" s="7" t="str">
        <f t="shared" si="19"/>
        <v>31</v>
      </c>
    </row>
    <row r="421" spans="1:5" x14ac:dyDescent="0.25">
      <c r="A421" s="9" t="str">
        <f t="shared" si="20"/>
        <v>00 STATUS - CHANGED CD</v>
      </c>
      <c r="B421" t="s">
        <v>204</v>
      </c>
      <c r="C421" s="7" t="str">
        <f t="shared" si="18"/>
        <v>31</v>
      </c>
      <c r="D421" s="8" t="s">
        <v>109</v>
      </c>
      <c r="E421" s="7" t="str">
        <f t="shared" si="19"/>
        <v>10</v>
      </c>
    </row>
    <row r="422" spans="1:5" x14ac:dyDescent="0.25">
      <c r="A422" s="9" t="str">
        <f t="shared" si="20"/>
        <v>84 REQUEST MORE TEXT FIELDS - SEND MAGAZINE INFO</v>
      </c>
      <c r="B422" t="s">
        <v>198</v>
      </c>
      <c r="C422" s="7" t="str">
        <f t="shared" si="18"/>
        <v>10</v>
      </c>
      <c r="D422" s="8" t="s">
        <v>109</v>
      </c>
      <c r="E422" s="7" t="str">
        <f t="shared" si="19"/>
        <v>31</v>
      </c>
    </row>
    <row r="423" spans="1:5" x14ac:dyDescent="0.25">
      <c r="A423" s="9" t="str">
        <f t="shared" si="20"/>
        <v>01 MASTER REQUEST - TIME POLL</v>
      </c>
      <c r="B423" t="s">
        <v>34</v>
      </c>
      <c r="C423" s="7" t="str">
        <f t="shared" si="18"/>
        <v>10</v>
      </c>
      <c r="D423" s="8" t="s">
        <v>109</v>
      </c>
      <c r="E423" s="7" t="str">
        <f t="shared" si="19"/>
        <v>31</v>
      </c>
    </row>
    <row r="424" spans="1:5" x14ac:dyDescent="0.25">
      <c r="A424" s="9" t="str">
        <f t="shared" si="20"/>
        <v>00 STATUS - CHANGED CD</v>
      </c>
      <c r="B424" t="s">
        <v>204</v>
      </c>
      <c r="C424" s="7" t="str">
        <f t="shared" si="18"/>
        <v>31</v>
      </c>
      <c r="D424" s="8" t="s">
        <v>109</v>
      </c>
      <c r="E424" s="7" t="str">
        <f t="shared" si="19"/>
        <v>10</v>
      </c>
    </row>
    <row r="425" spans="1:5" x14ac:dyDescent="0.25">
      <c r="A425" s="9" t="str">
        <f t="shared" si="20"/>
        <v>84 REQUEST MORE TEXT FIELDS - SEND DISC INFO</v>
      </c>
      <c r="B425" t="s">
        <v>200</v>
      </c>
      <c r="C425" s="7" t="str">
        <f t="shared" si="18"/>
        <v>10</v>
      </c>
      <c r="D425" s="8" t="s">
        <v>109</v>
      </c>
      <c r="E425" s="7" t="str">
        <f t="shared" si="19"/>
        <v>31</v>
      </c>
    </row>
    <row r="426" spans="1:5" x14ac:dyDescent="0.25">
      <c r="A426" s="9" t="str">
        <f t="shared" si="20"/>
        <v>01 MASTER REQUEST - SLAVE POLL</v>
      </c>
      <c r="B426" t="s">
        <v>18</v>
      </c>
      <c r="C426" s="7" t="str">
        <f t="shared" si="18"/>
        <v>10</v>
      </c>
      <c r="D426" s="8" t="s">
        <v>109</v>
      </c>
      <c r="E426" s="7" t="str">
        <f t="shared" si="19"/>
        <v>31</v>
      </c>
    </row>
    <row r="427" spans="1:5" x14ac:dyDescent="0.25">
      <c r="A427" s="9" t="str">
        <f t="shared" si="20"/>
        <v>95 MAGAZINE INFO - CD1 YES, CD2 YES, CD3 YES, CD4 NO, CD5 NO, CD6 NO</v>
      </c>
      <c r="B427" t="s">
        <v>216</v>
      </c>
      <c r="C427" s="7" t="str">
        <f t="shared" si="18"/>
        <v>31</v>
      </c>
      <c r="D427" s="8" t="s">
        <v>109</v>
      </c>
      <c r="E427" s="7" t="str">
        <f t="shared" si="19"/>
        <v>10</v>
      </c>
    </row>
    <row r="428" spans="1:5" x14ac:dyDescent="0.25">
      <c r="A428" s="9" t="str">
        <f t="shared" si="20"/>
        <v>97 DISC INFO - TRACKS: 16, MINS: 36, SECS: 45, DISC: 1</v>
      </c>
      <c r="B428" t="s">
        <v>223</v>
      </c>
      <c r="C428" s="7" t="str">
        <f t="shared" si="18"/>
        <v>31</v>
      </c>
      <c r="D428" s="8" t="s">
        <v>109</v>
      </c>
      <c r="E428" s="7" t="str">
        <f t="shared" si="19"/>
        <v>10</v>
      </c>
    </row>
    <row r="429" spans="1:5" x14ac:dyDescent="0.25">
      <c r="A429" s="9" t="str">
        <f t="shared" si="20"/>
        <v>01 MASTER REQUEST - SLAVE POLL</v>
      </c>
      <c r="B429" t="s">
        <v>18</v>
      </c>
      <c r="C429" s="7" t="str">
        <f t="shared" si="18"/>
        <v>10</v>
      </c>
      <c r="D429" s="8" t="s">
        <v>109</v>
      </c>
      <c r="E429" s="7" t="str">
        <f t="shared" si="19"/>
        <v>31</v>
      </c>
    </row>
    <row r="430" spans="1:5" x14ac:dyDescent="0.25">
      <c r="A430" s="9" t="str">
        <f t="shared" si="20"/>
        <v>01 MASTER REQUEST - SLAVE POLL</v>
      </c>
      <c r="B430" t="s">
        <v>18</v>
      </c>
      <c r="C430" s="7" t="str">
        <f t="shared" si="18"/>
        <v>10</v>
      </c>
      <c r="D430" s="8" t="s">
        <v>109</v>
      </c>
      <c r="E430" s="7" t="str">
        <f t="shared" si="19"/>
        <v>31</v>
      </c>
    </row>
    <row r="431" spans="1:5" x14ac:dyDescent="0.25">
      <c r="A431" s="9" t="str">
        <f t="shared" si="20"/>
        <v>00 STATUS - CHANGED CD</v>
      </c>
      <c r="B431" t="s">
        <v>204</v>
      </c>
      <c r="C431" s="7" t="str">
        <f t="shared" si="18"/>
        <v>31</v>
      </c>
      <c r="D431" s="8" t="s">
        <v>109</v>
      </c>
      <c r="E431" s="7" t="str">
        <f t="shared" si="19"/>
        <v>10</v>
      </c>
    </row>
    <row r="432" spans="1:5" x14ac:dyDescent="0.25">
      <c r="A432" s="9" t="str">
        <f t="shared" si="20"/>
        <v>84 REQUEST MORE TEXT FIELDS - SEND MAGAZINE INFO</v>
      </c>
      <c r="B432" t="s">
        <v>198</v>
      </c>
      <c r="C432" s="7" t="str">
        <f t="shared" si="18"/>
        <v>10</v>
      </c>
      <c r="D432" s="8" t="s">
        <v>109</v>
      </c>
      <c r="E432" s="7" t="str">
        <f t="shared" si="19"/>
        <v>31</v>
      </c>
    </row>
    <row r="433" spans="1:5" x14ac:dyDescent="0.25">
      <c r="A433" s="9" t="str">
        <f t="shared" si="20"/>
        <v>01 MASTER REQUEST - TIME POLL</v>
      </c>
      <c r="B433" t="s">
        <v>34</v>
      </c>
      <c r="C433" s="7" t="str">
        <f t="shared" si="18"/>
        <v>10</v>
      </c>
      <c r="D433" s="8" t="s">
        <v>109</v>
      </c>
      <c r="E433" s="7" t="str">
        <f t="shared" si="19"/>
        <v>31</v>
      </c>
    </row>
    <row r="434" spans="1:5" x14ac:dyDescent="0.25">
      <c r="A434" s="9" t="str">
        <f t="shared" si="20"/>
        <v>00 STATUS - CHANGED CD</v>
      </c>
      <c r="B434" t="s">
        <v>204</v>
      </c>
      <c r="C434" s="7" t="str">
        <f t="shared" si="18"/>
        <v>31</v>
      </c>
      <c r="D434" s="8" t="s">
        <v>109</v>
      </c>
      <c r="E434" s="7" t="str">
        <f t="shared" si="19"/>
        <v>10</v>
      </c>
    </row>
    <row r="435" spans="1:5" x14ac:dyDescent="0.25">
      <c r="A435" s="9" t="str">
        <f t="shared" si="20"/>
        <v>21 SWITCH TO CD?</v>
      </c>
      <c r="B435" t="s">
        <v>196</v>
      </c>
      <c r="C435" s="7" t="str">
        <f t="shared" si="18"/>
        <v>11</v>
      </c>
      <c r="D435" s="8" t="s">
        <v>109</v>
      </c>
      <c r="E435" s="7" t="str">
        <f t="shared" si="19"/>
        <v>31</v>
      </c>
    </row>
    <row r="436" spans="1:5" x14ac:dyDescent="0.25">
      <c r="A436" s="9" t="str">
        <f t="shared" si="20"/>
        <v>08 KEY RELEASED</v>
      </c>
      <c r="B436" t="s">
        <v>205</v>
      </c>
      <c r="C436" s="7" t="str">
        <f t="shared" si="18"/>
        <v>11</v>
      </c>
      <c r="D436" s="8" t="s">
        <v>109</v>
      </c>
      <c r="E436" s="7" t="str">
        <f t="shared" si="19"/>
        <v>18</v>
      </c>
    </row>
    <row r="437" spans="1:5" x14ac:dyDescent="0.25">
      <c r="A437" s="9" t="str">
        <f t="shared" si="20"/>
        <v>01 MASTER REQUEST - SLAVE POLL</v>
      </c>
      <c r="B437" t="s">
        <v>18</v>
      </c>
      <c r="C437" s="7" t="str">
        <f t="shared" si="18"/>
        <v>10</v>
      </c>
      <c r="D437" s="8" t="s">
        <v>109</v>
      </c>
      <c r="E437" s="7" t="str">
        <f t="shared" si="19"/>
        <v>31</v>
      </c>
    </row>
    <row r="438" spans="1:5" x14ac:dyDescent="0.25">
      <c r="A438" s="9" t="str">
        <f t="shared" si="20"/>
        <v>95 MAGAZINE INFO - CD1 YES, CD2 YES, CD3 YES, CD4 NO, CD5 NO, CD6 NO</v>
      </c>
      <c r="B438" t="s">
        <v>216</v>
      </c>
      <c r="C438" s="7" t="str">
        <f t="shared" si="18"/>
        <v>31</v>
      </c>
      <c r="D438" s="8" t="s">
        <v>109</v>
      </c>
      <c r="E438" s="7" t="str">
        <f t="shared" si="19"/>
        <v>10</v>
      </c>
    </row>
    <row r="439" spans="1:5" x14ac:dyDescent="0.25">
      <c r="A439" s="9" t="str">
        <f t="shared" si="20"/>
        <v>01 MASTER REQUEST - SLAVE POLL</v>
      </c>
      <c r="B439" t="s">
        <v>18</v>
      </c>
      <c r="C439" s="7" t="str">
        <f t="shared" si="18"/>
        <v>10</v>
      </c>
      <c r="D439" s="8" t="s">
        <v>109</v>
      </c>
      <c r="E439" s="7" t="str">
        <f t="shared" si="19"/>
        <v>31</v>
      </c>
    </row>
    <row r="440" spans="1:5" x14ac:dyDescent="0.25">
      <c r="A440" s="9" t="str">
        <f t="shared" si="20"/>
        <v>94 Configuration change - Mute OFF, Loudness OFF, Phone unmuted</v>
      </c>
      <c r="B440" t="s">
        <v>224</v>
      </c>
      <c r="C440" s="7" t="str">
        <f t="shared" si="18"/>
        <v>31</v>
      </c>
      <c r="D440" s="8" t="s">
        <v>109</v>
      </c>
      <c r="E440" s="7" t="str">
        <f t="shared" si="19"/>
        <v>77</v>
      </c>
    </row>
    <row r="441" spans="1:5" x14ac:dyDescent="0.25">
      <c r="A441" s="9" t="str">
        <f t="shared" si="20"/>
        <v>01 MASTER REQUEST - SLAVE POLL</v>
      </c>
      <c r="B441" t="s">
        <v>18</v>
      </c>
      <c r="C441" s="7" t="str">
        <f t="shared" si="18"/>
        <v>10</v>
      </c>
      <c r="D441" s="8" t="s">
        <v>109</v>
      </c>
      <c r="E441" s="7" t="str">
        <f t="shared" si="19"/>
        <v>31</v>
      </c>
    </row>
    <row r="442" spans="1:5" x14ac:dyDescent="0.25">
      <c r="A442" s="9" t="str">
        <f t="shared" si="20"/>
        <v>97 DISC INFO - TRACKS: 16, MINS: 36, SECS: 45, DISC: 1</v>
      </c>
      <c r="B442" t="s">
        <v>223</v>
      </c>
      <c r="C442" s="7" t="str">
        <f t="shared" si="18"/>
        <v>31</v>
      </c>
      <c r="D442" s="8" t="s">
        <v>109</v>
      </c>
      <c r="E442" s="7" t="str">
        <f t="shared" si="19"/>
        <v>10</v>
      </c>
    </row>
    <row r="443" spans="1:5" x14ac:dyDescent="0.25">
      <c r="A443" s="9" t="str">
        <f t="shared" si="20"/>
        <v>01 MASTER REQUEST - SLAVE POLL</v>
      </c>
      <c r="B443" t="s">
        <v>18</v>
      </c>
      <c r="C443" s="7" t="str">
        <f t="shared" si="18"/>
        <v>10</v>
      </c>
      <c r="D443" s="8" t="s">
        <v>109</v>
      </c>
      <c r="E443" s="7" t="str">
        <f t="shared" si="19"/>
        <v>31</v>
      </c>
    </row>
    <row r="444" spans="1:5" x14ac:dyDescent="0.25">
      <c r="A444" s="9" t="str">
        <f t="shared" si="20"/>
        <v>00 STATUS - CHANGED CD</v>
      </c>
      <c r="B444" t="s">
        <v>204</v>
      </c>
      <c r="C444" s="7" t="str">
        <f t="shared" si="18"/>
        <v>31</v>
      </c>
      <c r="D444" s="8" t="s">
        <v>109</v>
      </c>
      <c r="E444" s="7" t="str">
        <f t="shared" si="19"/>
        <v>10</v>
      </c>
    </row>
    <row r="445" spans="1:5" x14ac:dyDescent="0.25">
      <c r="A445" s="9" t="str">
        <f t="shared" si="20"/>
        <v>01 MASTER REQUEST - SLAVE POLL</v>
      </c>
      <c r="B445" t="s">
        <v>18</v>
      </c>
      <c r="C445" s="7" t="str">
        <f t="shared" si="18"/>
        <v>10</v>
      </c>
      <c r="D445" s="8" t="s">
        <v>109</v>
      </c>
      <c r="E445" s="7" t="str">
        <f t="shared" si="19"/>
        <v>31</v>
      </c>
    </row>
    <row r="446" spans="1:5" x14ac:dyDescent="0.25">
      <c r="A446" s="9" t="str">
        <f t="shared" si="20"/>
        <v>94 Configuration change - Mute OFF, Loudness OFF, Phone unmuted</v>
      </c>
      <c r="B446" t="s">
        <v>225</v>
      </c>
      <c r="C446" s="7" t="str">
        <f t="shared" si="18"/>
        <v>31</v>
      </c>
      <c r="D446" s="8" t="s">
        <v>109</v>
      </c>
      <c r="E446" s="7" t="str">
        <f t="shared" si="19"/>
        <v>70</v>
      </c>
    </row>
    <row r="447" spans="1:5" x14ac:dyDescent="0.25">
      <c r="A447" s="9" t="str">
        <f t="shared" si="20"/>
        <v>01 MASTER REQUEST - SLAVE POLL</v>
      </c>
      <c r="B447" t="s">
        <v>18</v>
      </c>
      <c r="C447" s="7" t="str">
        <f t="shared" si="18"/>
        <v>10</v>
      </c>
      <c r="D447" s="8" t="s">
        <v>109</v>
      </c>
      <c r="E447" s="7" t="str">
        <f t="shared" si="19"/>
        <v>31</v>
      </c>
    </row>
    <row r="448" spans="1:5" x14ac:dyDescent="0.25">
      <c r="A448" s="9" t="str">
        <f t="shared" si="20"/>
        <v>00 STATUS - CHANGED CD</v>
      </c>
      <c r="B448" t="s">
        <v>204</v>
      </c>
      <c r="C448" s="7" t="str">
        <f t="shared" si="18"/>
        <v>31</v>
      </c>
      <c r="D448" s="8" t="s">
        <v>109</v>
      </c>
      <c r="E448" s="7" t="str">
        <f t="shared" si="19"/>
        <v>10</v>
      </c>
    </row>
    <row r="449" spans="1:5" x14ac:dyDescent="0.25">
      <c r="A449" s="9" t="str">
        <f t="shared" si="20"/>
        <v>01 MASTER REQUEST - SLAVE POLL</v>
      </c>
      <c r="B449" t="s">
        <v>18</v>
      </c>
      <c r="C449" s="7" t="str">
        <f t="shared" si="18"/>
        <v>10</v>
      </c>
      <c r="D449" s="8" t="s">
        <v>109</v>
      </c>
      <c r="E449" s="7" t="str">
        <f t="shared" si="19"/>
        <v>31</v>
      </c>
    </row>
    <row r="450" spans="1:5" x14ac:dyDescent="0.25">
      <c r="A450" s="9" t="str">
        <f t="shared" si="20"/>
        <v>01 MASTER REQUEST - SLAVE POLL</v>
      </c>
      <c r="B450" t="s">
        <v>18</v>
      </c>
      <c r="C450" s="7" t="str">
        <f t="shared" ref="C450:C495" si="21">MID(B450,4,2)</f>
        <v>10</v>
      </c>
      <c r="D450" s="8" t="s">
        <v>109</v>
      </c>
      <c r="E450" s="7" t="str">
        <f t="shared" ref="E450:E495" si="22">MID(B450,1,2)</f>
        <v>31</v>
      </c>
    </row>
    <row r="451" spans="1:5" x14ac:dyDescent="0.25">
      <c r="A451" s="9" t="str">
        <f t="shared" ref="A451:A514" si="23">ParseUnilink(B451)</f>
        <v>00 STATUS - PLAYING</v>
      </c>
      <c r="B451" t="s">
        <v>226</v>
      </c>
      <c r="C451" s="7" t="str">
        <f t="shared" si="21"/>
        <v>31</v>
      </c>
      <c r="D451" s="8" t="s">
        <v>109</v>
      </c>
      <c r="E451" s="7" t="str">
        <f t="shared" si="22"/>
        <v>10</v>
      </c>
    </row>
    <row r="452" spans="1:5" x14ac:dyDescent="0.25">
      <c r="A452" s="9" t="str">
        <f t="shared" si="23"/>
        <v>84 REQUEST MORE TEXT FIELDS - SEND MAGAZINE INFO</v>
      </c>
      <c r="B452" t="s">
        <v>198</v>
      </c>
      <c r="C452" s="7" t="str">
        <f t="shared" si="21"/>
        <v>10</v>
      </c>
      <c r="D452" s="8" t="s">
        <v>109</v>
      </c>
      <c r="E452" s="7" t="str">
        <f t="shared" si="22"/>
        <v>31</v>
      </c>
    </row>
    <row r="453" spans="1:5" x14ac:dyDescent="0.25">
      <c r="A453" s="9" t="str">
        <f t="shared" si="23"/>
        <v>01 MASTER REQUEST - TIME POLL</v>
      </c>
      <c r="B453" t="s">
        <v>34</v>
      </c>
      <c r="C453" s="7" t="str">
        <f t="shared" si="21"/>
        <v>10</v>
      </c>
      <c r="D453" s="8" t="s">
        <v>109</v>
      </c>
      <c r="E453" s="7" t="str">
        <f t="shared" si="22"/>
        <v>31</v>
      </c>
    </row>
    <row r="454" spans="1:5" x14ac:dyDescent="0.25">
      <c r="A454" s="9" t="str">
        <f t="shared" si="23"/>
        <v>00 STATUS - PLAYING</v>
      </c>
      <c r="B454" t="s">
        <v>226</v>
      </c>
      <c r="C454" s="7" t="str">
        <f t="shared" si="21"/>
        <v>31</v>
      </c>
      <c r="D454" s="8" t="s">
        <v>109</v>
      </c>
      <c r="E454" s="7" t="str">
        <f t="shared" si="22"/>
        <v>10</v>
      </c>
    </row>
    <row r="455" spans="1:5" x14ac:dyDescent="0.25">
      <c r="A455" s="9" t="str">
        <f t="shared" si="23"/>
        <v>84 REQUEST MORE TEXT FIELDS - SEND DISC INFO</v>
      </c>
      <c r="B455" t="s">
        <v>200</v>
      </c>
      <c r="C455" s="7" t="str">
        <f t="shared" si="21"/>
        <v>10</v>
      </c>
      <c r="D455" s="8" t="s">
        <v>109</v>
      </c>
      <c r="E455" s="7" t="str">
        <f t="shared" si="22"/>
        <v>31</v>
      </c>
    </row>
    <row r="456" spans="1:5" x14ac:dyDescent="0.25">
      <c r="A456" s="9" t="str">
        <f t="shared" si="23"/>
        <v>01 MASTER REQUEST - SLAVE POLL</v>
      </c>
      <c r="B456" t="s">
        <v>18</v>
      </c>
      <c r="C456" s="7" t="str">
        <f t="shared" si="21"/>
        <v>10</v>
      </c>
      <c r="D456" s="8" t="s">
        <v>109</v>
      </c>
      <c r="E456" s="7" t="str">
        <f t="shared" si="22"/>
        <v>31</v>
      </c>
    </row>
    <row r="457" spans="1:5" x14ac:dyDescent="0.25">
      <c r="A457" s="9" t="str">
        <f t="shared" si="23"/>
        <v>95 MAGAZINE INFO - CD1 YES, CD2 YES, CD3 YES, CD4 NO, CD5 NO, CD6 NO</v>
      </c>
      <c r="B457" t="s">
        <v>216</v>
      </c>
      <c r="C457" s="7" t="str">
        <f t="shared" si="21"/>
        <v>31</v>
      </c>
      <c r="D457" s="8" t="s">
        <v>109</v>
      </c>
      <c r="E457" s="7" t="str">
        <f t="shared" si="22"/>
        <v>10</v>
      </c>
    </row>
    <row r="458" spans="1:5" x14ac:dyDescent="0.25">
      <c r="A458" s="9" t="str">
        <f t="shared" si="23"/>
        <v>01 MASTER REQUEST - SLAVE POLL</v>
      </c>
      <c r="B458" t="s">
        <v>18</v>
      </c>
      <c r="C458" s="7" t="str">
        <f t="shared" si="21"/>
        <v>10</v>
      </c>
      <c r="D458" s="8" t="s">
        <v>109</v>
      </c>
      <c r="E458" s="7" t="str">
        <f t="shared" si="22"/>
        <v>31</v>
      </c>
    </row>
    <row r="459" spans="1:5" x14ac:dyDescent="0.25">
      <c r="A459" s="9" t="str">
        <f t="shared" si="23"/>
        <v>97 DISC INFO - TRACKS: 16, MINS: 79, SECS: 36, DISC: 1</v>
      </c>
      <c r="B459" t="s">
        <v>207</v>
      </c>
      <c r="C459" s="7" t="str">
        <f t="shared" si="21"/>
        <v>31</v>
      </c>
      <c r="D459" s="8" t="s">
        <v>109</v>
      </c>
      <c r="E459" s="7" t="str">
        <f t="shared" si="22"/>
        <v>10</v>
      </c>
    </row>
    <row r="460" spans="1:5" x14ac:dyDescent="0.25">
      <c r="A460" s="9" t="str">
        <f t="shared" si="23"/>
        <v>01 MASTER REQUEST - SLAVE POLL</v>
      </c>
      <c r="B460" t="s">
        <v>18</v>
      </c>
      <c r="C460" s="7" t="str">
        <f t="shared" si="21"/>
        <v>10</v>
      </c>
      <c r="D460" s="8" t="s">
        <v>109</v>
      </c>
      <c r="E460" s="7" t="str">
        <f t="shared" si="22"/>
        <v>31</v>
      </c>
    </row>
    <row r="461" spans="1:5" x14ac:dyDescent="0.25">
      <c r="A461" s="9" t="str">
        <f t="shared" si="23"/>
        <v>01 MASTER REQUEST - SLAVE POLL</v>
      </c>
      <c r="B461" t="s">
        <v>18</v>
      </c>
      <c r="C461" s="7" t="str">
        <f t="shared" si="21"/>
        <v>10</v>
      </c>
      <c r="D461" s="8" t="s">
        <v>109</v>
      </c>
      <c r="E461" s="7" t="str">
        <f t="shared" si="22"/>
        <v>31</v>
      </c>
    </row>
    <row r="462" spans="1:5" x14ac:dyDescent="0.25">
      <c r="A462" s="9" t="str">
        <f t="shared" si="23"/>
        <v>00 STATUS - PLAYING</v>
      </c>
      <c r="B462" t="s">
        <v>226</v>
      </c>
      <c r="C462" s="7" t="str">
        <f t="shared" si="21"/>
        <v>31</v>
      </c>
      <c r="D462" s="8" t="s">
        <v>109</v>
      </c>
      <c r="E462" s="7" t="str">
        <f t="shared" si="22"/>
        <v>10</v>
      </c>
    </row>
    <row r="463" spans="1:5" x14ac:dyDescent="0.25">
      <c r="A463" s="9" t="str">
        <f t="shared" si="23"/>
        <v>84 REQUEST MORE TEXT FIELDS - SEND MAGAZINE INFO</v>
      </c>
      <c r="B463" t="s">
        <v>198</v>
      </c>
      <c r="C463" s="7" t="str">
        <f t="shared" si="21"/>
        <v>10</v>
      </c>
      <c r="D463" s="8" t="s">
        <v>109</v>
      </c>
      <c r="E463" s="7" t="str">
        <f t="shared" si="22"/>
        <v>31</v>
      </c>
    </row>
    <row r="464" spans="1:5" x14ac:dyDescent="0.25">
      <c r="A464" s="9" t="str">
        <f t="shared" si="23"/>
        <v>01 MASTER REQUEST - TIME POLL</v>
      </c>
      <c r="B464" t="s">
        <v>34</v>
      </c>
      <c r="C464" s="7" t="str">
        <f t="shared" si="21"/>
        <v>10</v>
      </c>
      <c r="D464" s="8" t="s">
        <v>109</v>
      </c>
      <c r="E464" s="7" t="str">
        <f t="shared" si="22"/>
        <v>31</v>
      </c>
    </row>
    <row r="465" spans="1:5" x14ac:dyDescent="0.25">
      <c r="A465" s="9" t="str">
        <f t="shared" si="23"/>
        <v>00 STATUS - PLAYING</v>
      </c>
      <c r="B465" t="s">
        <v>226</v>
      </c>
      <c r="C465" s="7" t="str">
        <f t="shared" si="21"/>
        <v>31</v>
      </c>
      <c r="D465" s="8" t="s">
        <v>109</v>
      </c>
      <c r="E465" s="7" t="str">
        <f t="shared" si="22"/>
        <v>10</v>
      </c>
    </row>
    <row r="466" spans="1:5" x14ac:dyDescent="0.25">
      <c r="A466" s="9" t="str">
        <f t="shared" si="23"/>
        <v>01 MASTER REQUEST - SLAVE POLL</v>
      </c>
      <c r="B466" t="s">
        <v>18</v>
      </c>
      <c r="C466" s="7" t="str">
        <f t="shared" si="21"/>
        <v>10</v>
      </c>
      <c r="D466" s="8" t="s">
        <v>109</v>
      </c>
      <c r="E466" s="7" t="str">
        <f t="shared" si="22"/>
        <v>31</v>
      </c>
    </row>
    <row r="467" spans="1:5" x14ac:dyDescent="0.25">
      <c r="A467" s="9" t="str">
        <f t="shared" si="23"/>
        <v>95 MAGAZINE INFO - CD1 YES, CD2 YES, CD3 YES, CD4 NO, CD5 NO, CD6 NO</v>
      </c>
      <c r="B467" t="s">
        <v>216</v>
      </c>
      <c r="C467" s="7" t="str">
        <f t="shared" si="21"/>
        <v>31</v>
      </c>
      <c r="D467" s="8" t="s">
        <v>109</v>
      </c>
      <c r="E467" s="7" t="str">
        <f t="shared" si="22"/>
        <v>10</v>
      </c>
    </row>
    <row r="468" spans="1:5" x14ac:dyDescent="0.25">
      <c r="A468" s="9" t="str">
        <f t="shared" si="23"/>
        <v>01 MASTER REQUEST - SLAVE POLL</v>
      </c>
      <c r="B468" t="s">
        <v>18</v>
      </c>
      <c r="C468" s="7" t="str">
        <f t="shared" si="21"/>
        <v>10</v>
      </c>
      <c r="D468" s="8" t="s">
        <v>109</v>
      </c>
      <c r="E468" s="7" t="str">
        <f t="shared" si="22"/>
        <v>31</v>
      </c>
    </row>
    <row r="469" spans="1:5" x14ac:dyDescent="0.25">
      <c r="A469" s="9" t="str">
        <f t="shared" si="23"/>
        <v>97 DISC INFO - TRACKS: 16, MINS: 79, SECS: 36, DISC: 1</v>
      </c>
      <c r="B469" t="s">
        <v>207</v>
      </c>
      <c r="C469" s="7" t="str">
        <f t="shared" si="21"/>
        <v>31</v>
      </c>
      <c r="D469" s="8" t="s">
        <v>109</v>
      </c>
      <c r="E469" s="7" t="str">
        <f t="shared" si="22"/>
        <v>10</v>
      </c>
    </row>
    <row r="470" spans="1:5" x14ac:dyDescent="0.25">
      <c r="A470" s="9" t="str">
        <f t="shared" si="23"/>
        <v>01 MASTER REQUEST - SLAVE POLL</v>
      </c>
      <c r="B470" t="s">
        <v>18</v>
      </c>
      <c r="C470" s="7" t="str">
        <f t="shared" si="21"/>
        <v>10</v>
      </c>
      <c r="D470" s="8" t="s">
        <v>109</v>
      </c>
      <c r="E470" s="7" t="str">
        <f t="shared" si="22"/>
        <v>31</v>
      </c>
    </row>
    <row r="471" spans="1:5" x14ac:dyDescent="0.25">
      <c r="A471" s="9" t="str">
        <f t="shared" si="23"/>
        <v>00 STATUS - PLAYING</v>
      </c>
      <c r="B471" t="s">
        <v>226</v>
      </c>
      <c r="C471" s="7" t="str">
        <f t="shared" si="21"/>
        <v>31</v>
      </c>
      <c r="D471" s="8" t="s">
        <v>109</v>
      </c>
      <c r="E471" s="7" t="str">
        <f t="shared" si="22"/>
        <v>10</v>
      </c>
    </row>
    <row r="472" spans="1:5" x14ac:dyDescent="0.25">
      <c r="A472" s="9" t="str">
        <f t="shared" si="23"/>
        <v>84 REQUEST MORE TEXT FIELDS - SEND MAGAZINE INFO</v>
      </c>
      <c r="B472" t="s">
        <v>198</v>
      </c>
      <c r="C472" s="7" t="str">
        <f t="shared" si="21"/>
        <v>10</v>
      </c>
      <c r="D472" s="8" t="s">
        <v>109</v>
      </c>
      <c r="E472" s="7" t="str">
        <f t="shared" si="22"/>
        <v>31</v>
      </c>
    </row>
    <row r="473" spans="1:5" x14ac:dyDescent="0.25">
      <c r="A473" s="9" t="str">
        <f t="shared" si="23"/>
        <v>01 MASTER REQUEST - TIME POLL</v>
      </c>
      <c r="B473" t="s">
        <v>34</v>
      </c>
      <c r="C473" s="7" t="str">
        <f t="shared" si="21"/>
        <v>10</v>
      </c>
      <c r="D473" s="8" t="s">
        <v>109</v>
      </c>
      <c r="E473" s="7" t="str">
        <f t="shared" si="22"/>
        <v>31</v>
      </c>
    </row>
    <row r="474" spans="1:5" x14ac:dyDescent="0.25">
      <c r="A474" s="9" t="str">
        <f t="shared" si="23"/>
        <v>00 STATUS - PLAYING</v>
      </c>
      <c r="B474" t="s">
        <v>226</v>
      </c>
      <c r="C474" s="7" t="str">
        <f t="shared" si="21"/>
        <v>31</v>
      </c>
      <c r="D474" s="8" t="s">
        <v>109</v>
      </c>
      <c r="E474" s="7" t="str">
        <f t="shared" si="22"/>
        <v>10</v>
      </c>
    </row>
    <row r="475" spans="1:5" x14ac:dyDescent="0.25">
      <c r="A475" s="9" t="str">
        <f t="shared" si="23"/>
        <v>84 REQUEST MORE TEXT FIELDS - SEND DISC INFO</v>
      </c>
      <c r="B475" t="s">
        <v>200</v>
      </c>
      <c r="C475" s="7" t="str">
        <f t="shared" si="21"/>
        <v>10</v>
      </c>
      <c r="D475" s="8" t="s">
        <v>109</v>
      </c>
      <c r="E475" s="7" t="str">
        <f t="shared" si="22"/>
        <v>31</v>
      </c>
    </row>
    <row r="476" spans="1:5" x14ac:dyDescent="0.25">
      <c r="A476" s="9" t="str">
        <f t="shared" si="23"/>
        <v>01 MASTER REQUEST - SLAVE POLL</v>
      </c>
      <c r="B476" t="s">
        <v>18</v>
      </c>
      <c r="C476" s="7" t="str">
        <f t="shared" si="21"/>
        <v>10</v>
      </c>
      <c r="D476" s="8" t="s">
        <v>109</v>
      </c>
      <c r="E476" s="7" t="str">
        <f t="shared" si="22"/>
        <v>31</v>
      </c>
    </row>
    <row r="477" spans="1:5" x14ac:dyDescent="0.25">
      <c r="A477" s="9" t="str">
        <f t="shared" si="23"/>
        <v>95 MAGAZINE INFO - CD1 YES, CD2 YES, CD3 YES, CD4 NO, CD5 NO, CD6 NO</v>
      </c>
      <c r="B477" t="s">
        <v>216</v>
      </c>
      <c r="C477" s="7" t="str">
        <f t="shared" si="21"/>
        <v>31</v>
      </c>
      <c r="D477" s="8" t="s">
        <v>109</v>
      </c>
      <c r="E477" s="7" t="str">
        <f t="shared" si="22"/>
        <v>10</v>
      </c>
    </row>
    <row r="478" spans="1:5" x14ac:dyDescent="0.25">
      <c r="A478" s="9" t="str">
        <f t="shared" si="23"/>
        <v>01 MASTER REQUEST - SLAVE POLL</v>
      </c>
      <c r="B478" t="s">
        <v>18</v>
      </c>
      <c r="C478" s="7" t="str">
        <f t="shared" si="21"/>
        <v>10</v>
      </c>
      <c r="D478" s="8" t="s">
        <v>109</v>
      </c>
      <c r="E478" s="7" t="str">
        <f t="shared" si="22"/>
        <v>31</v>
      </c>
    </row>
    <row r="479" spans="1:5" x14ac:dyDescent="0.25">
      <c r="A479" s="9" t="str">
        <f t="shared" si="23"/>
        <v>97 DISC INFO - TRACKS: 16, MINS: 79, SECS: 36, DISC: 1</v>
      </c>
      <c r="B479" t="s">
        <v>207</v>
      </c>
      <c r="C479" s="7" t="str">
        <f t="shared" si="21"/>
        <v>31</v>
      </c>
      <c r="D479" s="8" t="s">
        <v>109</v>
      </c>
      <c r="E479" s="7" t="str">
        <f t="shared" si="22"/>
        <v>10</v>
      </c>
    </row>
    <row r="480" spans="1:5" x14ac:dyDescent="0.25">
      <c r="A480" s="9" t="str">
        <f t="shared" si="23"/>
        <v>01 MASTER REQUEST - SLAVE POLL</v>
      </c>
      <c r="B480" t="s">
        <v>18</v>
      </c>
      <c r="C480" s="7" t="str">
        <f t="shared" si="21"/>
        <v>10</v>
      </c>
      <c r="D480" s="8" t="s">
        <v>109</v>
      </c>
      <c r="E480" s="7" t="str">
        <f t="shared" si="22"/>
        <v>31</v>
      </c>
    </row>
    <row r="481" spans="1:5" x14ac:dyDescent="0.25">
      <c r="A481" s="9" t="str">
        <f t="shared" si="23"/>
        <v>90 TIME- TRACK: 01, 00:03, DISC: 1</v>
      </c>
      <c r="B481" t="s">
        <v>227</v>
      </c>
      <c r="C481" s="7" t="str">
        <f t="shared" si="21"/>
        <v>31</v>
      </c>
      <c r="D481" s="8" t="s">
        <v>109</v>
      </c>
      <c r="E481" s="7" t="str">
        <f t="shared" si="22"/>
        <v>70</v>
      </c>
    </row>
    <row r="482" spans="1:5" x14ac:dyDescent="0.25">
      <c r="A482" s="9" t="str">
        <f t="shared" si="23"/>
        <v>01 MASTER REQUEST - SLAVE POLL</v>
      </c>
      <c r="B482" t="s">
        <v>18</v>
      </c>
      <c r="C482" s="7" t="str">
        <f t="shared" si="21"/>
        <v>10</v>
      </c>
      <c r="D482" s="8" t="s">
        <v>109</v>
      </c>
      <c r="E482" s="7" t="str">
        <f t="shared" si="22"/>
        <v>31</v>
      </c>
    </row>
    <row r="483" spans="1:5" x14ac:dyDescent="0.25">
      <c r="A483" s="9" t="str">
        <f t="shared" si="23"/>
        <v>00 STATUS - PLAYING</v>
      </c>
      <c r="B483" t="s">
        <v>226</v>
      </c>
      <c r="C483" s="7" t="str">
        <f t="shared" si="21"/>
        <v>31</v>
      </c>
      <c r="D483" s="8" t="s">
        <v>109</v>
      </c>
      <c r="E483" s="7" t="str">
        <f t="shared" si="22"/>
        <v>10</v>
      </c>
    </row>
    <row r="484" spans="1:5" x14ac:dyDescent="0.25">
      <c r="A484" s="9" t="str">
        <f t="shared" si="23"/>
        <v>84 REQUEST MORE TEXT FIELDS - SEND MAGAZINE INFO</v>
      </c>
      <c r="B484" t="s">
        <v>198</v>
      </c>
      <c r="C484" s="7" t="str">
        <f t="shared" si="21"/>
        <v>10</v>
      </c>
      <c r="D484" s="8" t="s">
        <v>109</v>
      </c>
      <c r="E484" s="7" t="str">
        <f t="shared" si="22"/>
        <v>31</v>
      </c>
    </row>
    <row r="485" spans="1:5" x14ac:dyDescent="0.25">
      <c r="A485" s="9" t="str">
        <f t="shared" si="23"/>
        <v>01 MASTER REQUEST - TIME POLL</v>
      </c>
      <c r="B485" t="s">
        <v>34</v>
      </c>
      <c r="C485" s="7" t="str">
        <f t="shared" si="21"/>
        <v>10</v>
      </c>
      <c r="D485" s="8" t="s">
        <v>109</v>
      </c>
      <c r="E485" s="7" t="str">
        <f t="shared" si="22"/>
        <v>31</v>
      </c>
    </row>
    <row r="486" spans="1:5" x14ac:dyDescent="0.25">
      <c r="A486" s="9" t="str">
        <f t="shared" si="23"/>
        <v>00 STATUS - PLAYING</v>
      </c>
      <c r="B486" t="s">
        <v>226</v>
      </c>
      <c r="C486" s="7" t="str">
        <f t="shared" si="21"/>
        <v>31</v>
      </c>
      <c r="D486" s="8" t="s">
        <v>109</v>
      </c>
      <c r="E486" s="7" t="str">
        <f t="shared" si="22"/>
        <v>10</v>
      </c>
    </row>
    <row r="487" spans="1:5" x14ac:dyDescent="0.25">
      <c r="A487" s="9" t="str">
        <f t="shared" si="23"/>
        <v>01 MASTER REQUEST - SLAVE POLL</v>
      </c>
      <c r="B487" t="s">
        <v>18</v>
      </c>
      <c r="C487" s="7" t="str">
        <f t="shared" si="21"/>
        <v>10</v>
      </c>
      <c r="D487" s="8" t="s">
        <v>109</v>
      </c>
      <c r="E487" s="7" t="str">
        <f t="shared" si="22"/>
        <v>31</v>
      </c>
    </row>
    <row r="488" spans="1:5" x14ac:dyDescent="0.25">
      <c r="A488" s="9" t="str">
        <f t="shared" si="23"/>
        <v>95 MAGAZINE INFO - CD1 YES, CD2 YES, CD3 YES, CD4 NO, CD5 NO, CD6 NO</v>
      </c>
      <c r="B488" t="s">
        <v>216</v>
      </c>
      <c r="C488" s="7" t="str">
        <f t="shared" si="21"/>
        <v>31</v>
      </c>
      <c r="D488" s="8" t="s">
        <v>109</v>
      </c>
      <c r="E488" s="7" t="str">
        <f t="shared" si="22"/>
        <v>10</v>
      </c>
    </row>
    <row r="489" spans="1:5" x14ac:dyDescent="0.25">
      <c r="A489" s="9" t="str">
        <f t="shared" si="23"/>
        <v>84 REQUEST MORE TEXT FIELDS - SEND DISC INFO</v>
      </c>
      <c r="B489" t="s">
        <v>200</v>
      </c>
      <c r="C489" s="7" t="str">
        <f t="shared" si="21"/>
        <v>10</v>
      </c>
      <c r="D489" s="8" t="s">
        <v>109</v>
      </c>
      <c r="E489" s="7" t="str">
        <f t="shared" si="22"/>
        <v>31</v>
      </c>
    </row>
    <row r="490" spans="1:5" x14ac:dyDescent="0.25">
      <c r="A490" s="9" t="str">
        <f t="shared" si="23"/>
        <v>01 MASTER REQUEST - SLAVE POLL</v>
      </c>
      <c r="B490" t="s">
        <v>18</v>
      </c>
      <c r="C490" s="7" t="str">
        <f t="shared" si="21"/>
        <v>10</v>
      </c>
      <c r="D490" s="8" t="s">
        <v>109</v>
      </c>
      <c r="E490" s="7" t="str">
        <f t="shared" si="22"/>
        <v>31</v>
      </c>
    </row>
    <row r="491" spans="1:5" x14ac:dyDescent="0.25">
      <c r="A491" s="9" t="str">
        <f t="shared" si="23"/>
        <v>90 TIME- TRACK: 01, 00:04, DISC: 1</v>
      </c>
      <c r="B491" t="s">
        <v>228</v>
      </c>
      <c r="C491" s="7" t="str">
        <f t="shared" si="21"/>
        <v>31</v>
      </c>
      <c r="D491" s="8" t="s">
        <v>109</v>
      </c>
      <c r="E491" s="7" t="str">
        <f t="shared" si="22"/>
        <v>70</v>
      </c>
    </row>
    <row r="492" spans="1:5" x14ac:dyDescent="0.25">
      <c r="A492" s="9" t="str">
        <f t="shared" si="23"/>
        <v>01 MASTER REQUEST - SLAVE POLL</v>
      </c>
      <c r="B492" t="s">
        <v>18</v>
      </c>
      <c r="C492" s="7" t="str">
        <f t="shared" si="21"/>
        <v>10</v>
      </c>
      <c r="D492" s="8" t="s">
        <v>109</v>
      </c>
      <c r="E492" s="7" t="str">
        <f t="shared" si="22"/>
        <v>31</v>
      </c>
    </row>
    <row r="493" spans="1:5" x14ac:dyDescent="0.25">
      <c r="A493" s="9" t="str">
        <f t="shared" si="23"/>
        <v>97 DISC INFO - TRACKS: 16, MINS: 79, SECS: 36, DISC: 1</v>
      </c>
      <c r="B493" t="s">
        <v>207</v>
      </c>
      <c r="C493" s="7" t="str">
        <f t="shared" si="21"/>
        <v>31</v>
      </c>
      <c r="D493" s="8" t="s">
        <v>109</v>
      </c>
      <c r="E493" s="7" t="str">
        <f t="shared" si="22"/>
        <v>10</v>
      </c>
    </row>
    <row r="494" spans="1:5" x14ac:dyDescent="0.25">
      <c r="A494" s="9" t="str">
        <f t="shared" si="23"/>
        <v>01 MASTER REQUEST - SLAVE POLL</v>
      </c>
      <c r="B494" t="s">
        <v>18</v>
      </c>
      <c r="C494" s="7" t="str">
        <f t="shared" si="21"/>
        <v>10</v>
      </c>
      <c r="D494" s="8" t="s">
        <v>109</v>
      </c>
      <c r="E494" s="7" t="str">
        <f t="shared" si="22"/>
        <v>31</v>
      </c>
    </row>
    <row r="495" spans="1:5" x14ac:dyDescent="0.25">
      <c r="A495" s="9" t="str">
        <f t="shared" si="23"/>
        <v>90 TIME- TRACK: 01, 00:05, DISC: 1</v>
      </c>
      <c r="B495" t="s">
        <v>229</v>
      </c>
      <c r="C495" s="7" t="str">
        <f t="shared" si="21"/>
        <v>31</v>
      </c>
      <c r="D495" s="8" t="s">
        <v>109</v>
      </c>
      <c r="E495" s="7" t="str">
        <f t="shared" si="22"/>
        <v>70</v>
      </c>
    </row>
    <row r="496" spans="1:5" x14ac:dyDescent="0.25">
      <c r="A496" s="9" t="str">
        <f t="shared" si="23"/>
        <v>01 MASTER REQUEST - SLAVE POLL</v>
      </c>
      <c r="B496" t="s">
        <v>18</v>
      </c>
      <c r="C496" s="7" t="str">
        <f t="shared" ref="C496:C559" si="24">MID(B496,4,2)</f>
        <v>10</v>
      </c>
      <c r="D496" s="8" t="s">
        <v>109</v>
      </c>
      <c r="E496" s="7" t="str">
        <f t="shared" ref="E496:E559" si="25">MID(B496,1,2)</f>
        <v>31</v>
      </c>
    </row>
    <row r="497" spans="1:5" x14ac:dyDescent="0.25">
      <c r="A497" s="9" t="str">
        <f t="shared" si="23"/>
        <v>00 STATUS - PLAYING</v>
      </c>
      <c r="B497" t="s">
        <v>226</v>
      </c>
      <c r="C497" s="7" t="str">
        <f t="shared" si="24"/>
        <v>31</v>
      </c>
      <c r="D497" s="8" t="s">
        <v>109</v>
      </c>
      <c r="E497" s="7" t="str">
        <f t="shared" si="25"/>
        <v>10</v>
      </c>
    </row>
    <row r="498" spans="1:5" x14ac:dyDescent="0.25">
      <c r="A498" s="9" t="str">
        <f t="shared" si="23"/>
        <v>84 REQUEST MORE TEXT FIELDS - SEND MAGAZINE INFO</v>
      </c>
      <c r="B498" t="s">
        <v>198</v>
      </c>
      <c r="C498" s="7" t="str">
        <f t="shared" si="24"/>
        <v>10</v>
      </c>
      <c r="D498" s="8" t="s">
        <v>109</v>
      </c>
      <c r="E498" s="7" t="str">
        <f t="shared" si="25"/>
        <v>31</v>
      </c>
    </row>
    <row r="499" spans="1:5" x14ac:dyDescent="0.25">
      <c r="A499" s="9" t="str">
        <f t="shared" si="23"/>
        <v>01 MASTER REQUEST - TIME POLL</v>
      </c>
      <c r="B499" t="s">
        <v>34</v>
      </c>
      <c r="C499" s="7" t="str">
        <f t="shared" si="24"/>
        <v>10</v>
      </c>
      <c r="D499" s="8" t="s">
        <v>109</v>
      </c>
      <c r="E499" s="7" t="str">
        <f t="shared" si="25"/>
        <v>31</v>
      </c>
    </row>
    <row r="500" spans="1:5" x14ac:dyDescent="0.25">
      <c r="A500" s="9" t="str">
        <f t="shared" si="23"/>
        <v>00 STATUS - PLAYING</v>
      </c>
      <c r="B500" t="s">
        <v>226</v>
      </c>
      <c r="C500" s="7" t="str">
        <f t="shared" si="24"/>
        <v>31</v>
      </c>
      <c r="D500" s="8" t="s">
        <v>109</v>
      </c>
      <c r="E500" s="7" t="str">
        <f t="shared" si="25"/>
        <v>10</v>
      </c>
    </row>
    <row r="501" spans="1:5" x14ac:dyDescent="0.25">
      <c r="A501" s="9" t="str">
        <f t="shared" si="23"/>
        <v>84 REQUEST MORE TEXT FIELDS - SEND DISC INFO</v>
      </c>
      <c r="B501" t="s">
        <v>200</v>
      </c>
      <c r="C501" s="7" t="str">
        <f t="shared" si="24"/>
        <v>10</v>
      </c>
      <c r="D501" s="8" t="s">
        <v>109</v>
      </c>
      <c r="E501" s="7" t="str">
        <f t="shared" si="25"/>
        <v>31</v>
      </c>
    </row>
    <row r="502" spans="1:5" x14ac:dyDescent="0.25">
      <c r="A502" s="9" t="str">
        <f t="shared" si="23"/>
        <v>01 MASTER REQUEST - SLAVE POLL</v>
      </c>
      <c r="B502" t="s">
        <v>18</v>
      </c>
      <c r="C502" s="7" t="str">
        <f t="shared" si="24"/>
        <v>10</v>
      </c>
      <c r="D502" s="8" t="s">
        <v>109</v>
      </c>
      <c r="E502" s="7" t="str">
        <f t="shared" si="25"/>
        <v>31</v>
      </c>
    </row>
    <row r="503" spans="1:5" x14ac:dyDescent="0.25">
      <c r="A503" s="9" t="str">
        <f t="shared" si="23"/>
        <v>95 MAGAZINE INFO - CD1 YES, CD2 YES, CD3 YES, CD4 NO, CD5 NO, CD6 NO</v>
      </c>
      <c r="B503" t="s">
        <v>216</v>
      </c>
      <c r="C503" s="7" t="str">
        <f t="shared" si="24"/>
        <v>31</v>
      </c>
      <c r="D503" s="8" t="s">
        <v>109</v>
      </c>
      <c r="E503" s="7" t="str">
        <f t="shared" si="25"/>
        <v>10</v>
      </c>
    </row>
    <row r="504" spans="1:5" x14ac:dyDescent="0.25">
      <c r="A504" s="9" t="str">
        <f t="shared" si="23"/>
        <v>01 MASTER REQUEST - SLAVE POLL</v>
      </c>
      <c r="B504" t="s">
        <v>18</v>
      </c>
      <c r="C504" s="7" t="str">
        <f t="shared" si="24"/>
        <v>10</v>
      </c>
      <c r="D504" s="8" t="s">
        <v>109</v>
      </c>
      <c r="E504" s="7" t="str">
        <f t="shared" si="25"/>
        <v>31</v>
      </c>
    </row>
    <row r="505" spans="1:5" x14ac:dyDescent="0.25">
      <c r="A505" s="9" t="str">
        <f t="shared" si="23"/>
        <v>97 DISC INFO - TRACKS: 16, MINS: 79, SECS: 36, DISC: 1</v>
      </c>
      <c r="B505" t="s">
        <v>207</v>
      </c>
      <c r="C505" s="7" t="str">
        <f t="shared" si="24"/>
        <v>31</v>
      </c>
      <c r="D505" s="8" t="s">
        <v>109</v>
      </c>
      <c r="E505" s="7" t="str">
        <f t="shared" si="25"/>
        <v>10</v>
      </c>
    </row>
    <row r="506" spans="1:5" x14ac:dyDescent="0.25">
      <c r="A506" s="9" t="str">
        <f t="shared" si="23"/>
        <v>90 TIME- TRACK: 01, 00:06, DISC: 1</v>
      </c>
      <c r="B506" t="s">
        <v>230</v>
      </c>
      <c r="C506" s="7" t="str">
        <f t="shared" si="24"/>
        <v>31</v>
      </c>
      <c r="D506" s="8" t="s">
        <v>109</v>
      </c>
      <c r="E506" s="7" t="str">
        <f t="shared" si="25"/>
        <v>70</v>
      </c>
    </row>
    <row r="507" spans="1:5" x14ac:dyDescent="0.25">
      <c r="A507" s="9" t="str">
        <f t="shared" si="23"/>
        <v>84 REQUEST MORE TEXT FIELDS - SEND MAGAZINE INFO</v>
      </c>
      <c r="B507" t="s">
        <v>198</v>
      </c>
      <c r="C507" s="7" t="str">
        <f t="shared" si="24"/>
        <v>10</v>
      </c>
      <c r="D507" s="8" t="s">
        <v>109</v>
      </c>
      <c r="E507" s="7" t="str">
        <f t="shared" si="25"/>
        <v>31</v>
      </c>
    </row>
    <row r="508" spans="1:5" x14ac:dyDescent="0.25">
      <c r="A508" s="9" t="str">
        <f t="shared" si="23"/>
        <v>01 MASTER REQUEST - TIME POLL</v>
      </c>
      <c r="B508" t="s">
        <v>34</v>
      </c>
      <c r="C508" s="7" t="str">
        <f t="shared" si="24"/>
        <v>10</v>
      </c>
      <c r="D508" s="8" t="s">
        <v>109</v>
      </c>
      <c r="E508" s="7" t="str">
        <f t="shared" si="25"/>
        <v>31</v>
      </c>
    </row>
    <row r="509" spans="1:5" x14ac:dyDescent="0.25">
      <c r="A509" s="9" t="str">
        <f t="shared" si="23"/>
        <v>00 STATUS - PLAYING</v>
      </c>
      <c r="B509" t="s">
        <v>226</v>
      </c>
      <c r="C509" s="7" t="str">
        <f t="shared" si="24"/>
        <v>31</v>
      </c>
      <c r="D509" s="8" t="s">
        <v>109</v>
      </c>
      <c r="E509" s="7" t="str">
        <f t="shared" si="25"/>
        <v>10</v>
      </c>
    </row>
    <row r="510" spans="1:5" x14ac:dyDescent="0.25">
      <c r="A510" s="9" t="str">
        <f t="shared" si="23"/>
        <v>84 REQUEST MORE TEXT FIELDS - SEND DISC INFO</v>
      </c>
      <c r="B510" t="s">
        <v>200</v>
      </c>
      <c r="C510" s="7" t="str">
        <f t="shared" si="24"/>
        <v>10</v>
      </c>
      <c r="D510" s="8" t="s">
        <v>109</v>
      </c>
      <c r="E510" s="7" t="str">
        <f t="shared" si="25"/>
        <v>31</v>
      </c>
    </row>
    <row r="511" spans="1:5" x14ac:dyDescent="0.25">
      <c r="A511" s="9" t="str">
        <f t="shared" si="23"/>
        <v>01 MASTER REQUEST - SLAVE POLL</v>
      </c>
      <c r="B511" t="s">
        <v>18</v>
      </c>
      <c r="C511" s="7" t="str">
        <f t="shared" si="24"/>
        <v>10</v>
      </c>
      <c r="D511" s="8" t="s">
        <v>109</v>
      </c>
      <c r="E511" s="7" t="str">
        <f t="shared" si="25"/>
        <v>31</v>
      </c>
    </row>
    <row r="512" spans="1:5" x14ac:dyDescent="0.25">
      <c r="A512" s="9" t="str">
        <f t="shared" si="23"/>
        <v>95 MAGAZINE INFO - CD1 YES, CD2 YES, CD3 YES, CD4 NO, CD5 NO, CD6 NO</v>
      </c>
      <c r="B512" t="s">
        <v>216</v>
      </c>
      <c r="C512" s="7" t="str">
        <f t="shared" si="24"/>
        <v>31</v>
      </c>
      <c r="D512" s="8" t="s">
        <v>109</v>
      </c>
      <c r="E512" s="7" t="str">
        <f t="shared" si="25"/>
        <v>10</v>
      </c>
    </row>
    <row r="513" spans="1:5" x14ac:dyDescent="0.25">
      <c r="A513" s="9" t="str">
        <f t="shared" si="23"/>
        <v>01 MASTER REQUEST - SLAVE POLL</v>
      </c>
      <c r="B513" t="s">
        <v>18</v>
      </c>
      <c r="C513" s="7" t="str">
        <f t="shared" si="24"/>
        <v>10</v>
      </c>
      <c r="D513" s="8" t="s">
        <v>109</v>
      </c>
      <c r="E513" s="7" t="str">
        <f t="shared" si="25"/>
        <v>31</v>
      </c>
    </row>
    <row r="514" spans="1:5" x14ac:dyDescent="0.25">
      <c r="A514" s="9" t="str">
        <f t="shared" si="23"/>
        <v>97 DISC INFO - TRACKS: 16, MINS: 79, SECS: 36, DISC: 1</v>
      </c>
      <c r="B514" t="s">
        <v>207</v>
      </c>
      <c r="C514" s="7" t="str">
        <f t="shared" si="24"/>
        <v>31</v>
      </c>
      <c r="D514" s="8" t="s">
        <v>109</v>
      </c>
      <c r="E514" s="7" t="str">
        <f t="shared" si="25"/>
        <v>10</v>
      </c>
    </row>
    <row r="515" spans="1:5" x14ac:dyDescent="0.25">
      <c r="A515" s="9" t="str">
        <f t="shared" ref="A515:A578" si="26">ParseUnilink(B515)</f>
        <v>00 STATUS - PLAYING</v>
      </c>
      <c r="B515" t="s">
        <v>226</v>
      </c>
      <c r="C515" s="7" t="str">
        <f t="shared" si="24"/>
        <v>31</v>
      </c>
      <c r="D515" s="8" t="s">
        <v>109</v>
      </c>
      <c r="E515" s="7" t="str">
        <f t="shared" si="25"/>
        <v>10</v>
      </c>
    </row>
    <row r="516" spans="1:5" x14ac:dyDescent="0.25">
      <c r="A516" s="9" t="str">
        <f t="shared" si="26"/>
        <v>01 MASTER REQUEST - SLAVE POLL</v>
      </c>
      <c r="B516" t="s">
        <v>18</v>
      </c>
      <c r="C516" s="7" t="str">
        <f t="shared" si="24"/>
        <v>10</v>
      </c>
      <c r="D516" s="8" t="s">
        <v>109</v>
      </c>
      <c r="E516" s="7" t="str">
        <f t="shared" si="25"/>
        <v>31</v>
      </c>
    </row>
    <row r="517" spans="1:5" x14ac:dyDescent="0.25">
      <c r="A517" s="9" t="str">
        <f t="shared" si="26"/>
        <v>90 TIME- TRACK: 01, 00:07, DISC: 1</v>
      </c>
      <c r="B517" t="s">
        <v>231</v>
      </c>
      <c r="C517" s="7" t="str">
        <f t="shared" si="24"/>
        <v>31</v>
      </c>
      <c r="D517" s="8" t="s">
        <v>109</v>
      </c>
      <c r="E517" s="7" t="str">
        <f t="shared" si="25"/>
        <v>70</v>
      </c>
    </row>
    <row r="518" spans="1:5" x14ac:dyDescent="0.25">
      <c r="A518" s="9" t="str">
        <f t="shared" si="26"/>
        <v>01 MASTER REQUEST - SLAVE POLL</v>
      </c>
      <c r="B518" t="s">
        <v>18</v>
      </c>
      <c r="C518" s="7" t="str">
        <f t="shared" si="24"/>
        <v>10</v>
      </c>
      <c r="D518" s="8" t="s">
        <v>109</v>
      </c>
      <c r="E518" s="7" t="str">
        <f t="shared" si="25"/>
        <v>31</v>
      </c>
    </row>
    <row r="519" spans="1:5" x14ac:dyDescent="0.25">
      <c r="A519" s="9" t="str">
        <f t="shared" si="26"/>
        <v>00 STATUS - PLAYING</v>
      </c>
      <c r="B519" t="s">
        <v>226</v>
      </c>
      <c r="C519" s="7" t="str">
        <f t="shared" si="24"/>
        <v>31</v>
      </c>
      <c r="D519" s="8" t="s">
        <v>109</v>
      </c>
      <c r="E519" s="7" t="str">
        <f t="shared" si="25"/>
        <v>10</v>
      </c>
    </row>
    <row r="520" spans="1:5" x14ac:dyDescent="0.25">
      <c r="A520" s="9" t="str">
        <f t="shared" si="26"/>
        <v>01 MASTER REQUEST - SLAVE POLL</v>
      </c>
      <c r="B520" t="s">
        <v>18</v>
      </c>
      <c r="C520" s="7" t="str">
        <f t="shared" si="24"/>
        <v>10</v>
      </c>
      <c r="D520" s="8" t="s">
        <v>109</v>
      </c>
      <c r="E520" s="7" t="str">
        <f t="shared" si="25"/>
        <v>31</v>
      </c>
    </row>
    <row r="521" spans="1:5" x14ac:dyDescent="0.25">
      <c r="A521" s="9" t="str">
        <f t="shared" si="26"/>
        <v>84 REQUEST MORE TEXT FIELDS - SEND MAGAZINE INFO</v>
      </c>
      <c r="B521" t="s">
        <v>198</v>
      </c>
      <c r="C521" s="7" t="str">
        <f t="shared" si="24"/>
        <v>10</v>
      </c>
      <c r="D521" s="8" t="s">
        <v>109</v>
      </c>
      <c r="E521" s="7" t="str">
        <f t="shared" si="25"/>
        <v>31</v>
      </c>
    </row>
    <row r="522" spans="1:5" x14ac:dyDescent="0.25">
      <c r="A522" s="9" t="str">
        <f t="shared" si="26"/>
        <v>01 MASTER REQUEST - TIME POLL</v>
      </c>
      <c r="B522" t="s">
        <v>34</v>
      </c>
      <c r="C522" s="7" t="str">
        <f t="shared" si="24"/>
        <v>10</v>
      </c>
      <c r="D522" s="8" t="s">
        <v>109</v>
      </c>
      <c r="E522" s="7" t="str">
        <f t="shared" si="25"/>
        <v>31</v>
      </c>
    </row>
    <row r="523" spans="1:5" x14ac:dyDescent="0.25">
      <c r="A523" s="9" t="str">
        <f t="shared" si="26"/>
        <v>84 REQUEST MORE TEXT FIELDS - SEND DISC INFO</v>
      </c>
      <c r="B523" t="s">
        <v>200</v>
      </c>
      <c r="C523" s="7" t="str">
        <f t="shared" si="24"/>
        <v>10</v>
      </c>
      <c r="D523" s="8" t="s">
        <v>109</v>
      </c>
      <c r="E523" s="7" t="str">
        <f t="shared" si="25"/>
        <v>31</v>
      </c>
    </row>
    <row r="524" spans="1:5" x14ac:dyDescent="0.25">
      <c r="A524" s="9" t="str">
        <f t="shared" si="26"/>
        <v>01 MASTER REQUEST - SLAVE POLL</v>
      </c>
      <c r="B524" t="s">
        <v>18</v>
      </c>
      <c r="C524" s="7" t="str">
        <f t="shared" si="24"/>
        <v>10</v>
      </c>
      <c r="D524" s="8" t="s">
        <v>109</v>
      </c>
      <c r="E524" s="7" t="str">
        <f t="shared" si="25"/>
        <v>31</v>
      </c>
    </row>
    <row r="525" spans="1:5" x14ac:dyDescent="0.25">
      <c r="A525" s="9" t="str">
        <f t="shared" si="26"/>
        <v>95 MAGAZINE INFO - CD1 YES, CD2 YES, CD3 YES, CD4 NO, CD5 NO, CD6 NO</v>
      </c>
      <c r="B525" t="s">
        <v>216</v>
      </c>
      <c r="C525" s="7" t="str">
        <f t="shared" si="24"/>
        <v>31</v>
      </c>
      <c r="D525" s="8" t="s">
        <v>109</v>
      </c>
      <c r="E525" s="7" t="str">
        <f t="shared" si="25"/>
        <v>10</v>
      </c>
    </row>
    <row r="526" spans="1:5" x14ac:dyDescent="0.25">
      <c r="A526" s="9" t="str">
        <f t="shared" si="26"/>
        <v>01 MASTER REQUEST - SLAVE POLL</v>
      </c>
      <c r="B526" t="s">
        <v>18</v>
      </c>
      <c r="C526" s="7" t="str">
        <f t="shared" si="24"/>
        <v>10</v>
      </c>
      <c r="D526" s="8" t="s">
        <v>109</v>
      </c>
      <c r="E526" s="7" t="str">
        <f t="shared" si="25"/>
        <v>31</v>
      </c>
    </row>
    <row r="527" spans="1:5" x14ac:dyDescent="0.25">
      <c r="A527" s="9" t="str">
        <f t="shared" si="26"/>
        <v>97 DISC INFO - TRACKS: 99, MINS: 00, SECS: 00, DISC: 4</v>
      </c>
      <c r="B527" t="s">
        <v>232</v>
      </c>
      <c r="C527" s="7" t="str">
        <f t="shared" si="24"/>
        <v>31</v>
      </c>
      <c r="D527" s="8" t="s">
        <v>109</v>
      </c>
      <c r="E527" s="7" t="str">
        <f t="shared" si="25"/>
        <v>10</v>
      </c>
    </row>
    <row r="528" spans="1:5" x14ac:dyDescent="0.25">
      <c r="A528" s="9" t="str">
        <f t="shared" si="26"/>
        <v>84 REQUEST MORE TEXT FIELDS - SEND MAGAZINE INFO</v>
      </c>
      <c r="B528" t="s">
        <v>198</v>
      </c>
      <c r="C528" s="7" t="str">
        <f t="shared" si="24"/>
        <v>10</v>
      </c>
      <c r="D528" s="8" t="s">
        <v>109</v>
      </c>
      <c r="E528" s="7" t="str">
        <f t="shared" si="25"/>
        <v>31</v>
      </c>
    </row>
    <row r="529" spans="1:5" x14ac:dyDescent="0.25">
      <c r="A529" s="9" t="str">
        <f t="shared" si="26"/>
        <v>01 MASTER REQUEST - TIME POLL</v>
      </c>
      <c r="B529" t="s">
        <v>34</v>
      </c>
      <c r="C529" s="7" t="str">
        <f t="shared" si="24"/>
        <v>10</v>
      </c>
      <c r="D529" s="8" t="s">
        <v>109</v>
      </c>
      <c r="E529" s="7" t="str">
        <f t="shared" si="25"/>
        <v>31</v>
      </c>
    </row>
    <row r="530" spans="1:5" x14ac:dyDescent="0.25">
      <c r="A530" s="9" t="str">
        <f t="shared" si="26"/>
        <v>00 STATUS - CHANGING CD</v>
      </c>
      <c r="B530" t="s">
        <v>199</v>
      </c>
      <c r="C530" s="7" t="str">
        <f t="shared" si="24"/>
        <v>31</v>
      </c>
      <c r="D530" s="8" t="s">
        <v>109</v>
      </c>
      <c r="E530" s="7" t="str">
        <f t="shared" si="25"/>
        <v>10</v>
      </c>
    </row>
    <row r="531" spans="1:5" x14ac:dyDescent="0.25">
      <c r="A531" s="9" t="str">
        <f t="shared" si="26"/>
        <v>84 REQUEST MORE TEXT FIELDS - SEND DISC INFO</v>
      </c>
      <c r="B531" t="s">
        <v>200</v>
      </c>
      <c r="C531" s="7" t="str">
        <f t="shared" si="24"/>
        <v>10</v>
      </c>
      <c r="D531" s="8" t="s">
        <v>109</v>
      </c>
      <c r="E531" s="7" t="str">
        <f t="shared" si="25"/>
        <v>31</v>
      </c>
    </row>
    <row r="532" spans="1:5" x14ac:dyDescent="0.25">
      <c r="A532" s="9" t="str">
        <f t="shared" si="26"/>
        <v>01 MASTER REQUEST - SLAVE POLL</v>
      </c>
      <c r="B532" t="s">
        <v>18</v>
      </c>
      <c r="C532" s="7" t="str">
        <f t="shared" si="24"/>
        <v>10</v>
      </c>
      <c r="D532" s="8" t="s">
        <v>109</v>
      </c>
      <c r="E532" s="7" t="str">
        <f t="shared" si="25"/>
        <v>31</v>
      </c>
    </row>
    <row r="533" spans="1:5" x14ac:dyDescent="0.25">
      <c r="A533" s="9" t="str">
        <f t="shared" si="26"/>
        <v>95 MAGAZINE INFO - CD1 YES, CD2 YES, CD3 YES, CD4 NO, CD5 NO, CD6 NO</v>
      </c>
      <c r="B533" t="s">
        <v>216</v>
      </c>
      <c r="C533" s="7" t="str">
        <f t="shared" si="24"/>
        <v>31</v>
      </c>
      <c r="D533" s="8" t="s">
        <v>109</v>
      </c>
      <c r="E533" s="7" t="str">
        <f t="shared" si="25"/>
        <v>10</v>
      </c>
    </row>
    <row r="534" spans="1:5" x14ac:dyDescent="0.25">
      <c r="A534" s="9" t="str">
        <f t="shared" si="26"/>
        <v>01 MASTER REQUEST - SLAVE POLL</v>
      </c>
      <c r="B534" t="s">
        <v>18</v>
      </c>
      <c r="C534" s="7" t="str">
        <f t="shared" si="24"/>
        <v>10</v>
      </c>
      <c r="D534" s="8" t="s">
        <v>109</v>
      </c>
      <c r="E534" s="7" t="str">
        <f t="shared" si="25"/>
        <v>31</v>
      </c>
    </row>
    <row r="535" spans="1:5" x14ac:dyDescent="0.25">
      <c r="A535" s="9" t="str">
        <f t="shared" si="26"/>
        <v>97 DISC INFO - TRACKS: 99, MINS: 00, SECS: 00, DISC: 4</v>
      </c>
      <c r="B535" t="s">
        <v>232</v>
      </c>
      <c r="C535" s="7" t="str">
        <f t="shared" si="24"/>
        <v>31</v>
      </c>
      <c r="D535" s="8" t="s">
        <v>109</v>
      </c>
      <c r="E535" s="7" t="str">
        <f t="shared" si="25"/>
        <v>10</v>
      </c>
    </row>
    <row r="536" spans="1:5" x14ac:dyDescent="0.25">
      <c r="A536" s="9" t="str">
        <f t="shared" si="26"/>
        <v>01 MASTER REQUEST - SLAVE POLL</v>
      </c>
      <c r="B536" t="s">
        <v>18</v>
      </c>
      <c r="C536" s="7" t="str">
        <f t="shared" si="24"/>
        <v>10</v>
      </c>
      <c r="D536" s="8" t="s">
        <v>109</v>
      </c>
      <c r="E536" s="7" t="str">
        <f t="shared" si="25"/>
        <v>31</v>
      </c>
    </row>
    <row r="537" spans="1:5" x14ac:dyDescent="0.25">
      <c r="A537" s="9" t="str">
        <f t="shared" si="26"/>
        <v>01 MASTER REQUEST - SLAVE POLL</v>
      </c>
      <c r="B537" t="s">
        <v>18</v>
      </c>
      <c r="C537" s="7" t="str">
        <f t="shared" si="24"/>
        <v>10</v>
      </c>
      <c r="D537" s="8" t="s">
        <v>109</v>
      </c>
      <c r="E537" s="7" t="str">
        <f t="shared" si="25"/>
        <v>31</v>
      </c>
    </row>
    <row r="538" spans="1:5" x14ac:dyDescent="0.25">
      <c r="A538" s="9" t="str">
        <f t="shared" si="26"/>
        <v>00 STATUS - CHANGING CD</v>
      </c>
      <c r="B538" t="s">
        <v>199</v>
      </c>
      <c r="C538" s="7" t="str">
        <f t="shared" si="24"/>
        <v>31</v>
      </c>
      <c r="D538" s="8" t="s">
        <v>109</v>
      </c>
      <c r="E538" s="7" t="str">
        <f t="shared" si="25"/>
        <v>10</v>
      </c>
    </row>
    <row r="539" spans="1:5" x14ac:dyDescent="0.25">
      <c r="A539" s="9" t="str">
        <f t="shared" si="26"/>
        <v>B0 CHANGE TO DISC 4, TRACK 00</v>
      </c>
      <c r="B539" t="s">
        <v>233</v>
      </c>
      <c r="C539" s="7" t="str">
        <f t="shared" si="24"/>
        <v>11</v>
      </c>
      <c r="D539" s="8" t="s">
        <v>109</v>
      </c>
      <c r="E539" s="7" t="str">
        <f t="shared" si="25"/>
        <v>31</v>
      </c>
    </row>
    <row r="540" spans="1:5" x14ac:dyDescent="0.25">
      <c r="A540" s="9" t="str">
        <f t="shared" si="26"/>
        <v>01 MASTER REQUEST - SLAVE POLL</v>
      </c>
      <c r="B540" t="s">
        <v>18</v>
      </c>
      <c r="C540" s="7" t="str">
        <f t="shared" si="24"/>
        <v>10</v>
      </c>
      <c r="D540" s="8" t="s">
        <v>109</v>
      </c>
      <c r="E540" s="7" t="str">
        <f t="shared" si="25"/>
        <v>31</v>
      </c>
    </row>
    <row r="541" spans="1:5" x14ac:dyDescent="0.25">
      <c r="A541" s="9" t="str">
        <f t="shared" si="26"/>
        <v>01 MASTER REQUEST - SLAVE POLL</v>
      </c>
      <c r="B541" t="s">
        <v>18</v>
      </c>
      <c r="C541" s="7" t="str">
        <f t="shared" si="24"/>
        <v>10</v>
      </c>
      <c r="D541" s="8" t="s">
        <v>109</v>
      </c>
      <c r="E541" s="7" t="str">
        <f t="shared" si="25"/>
        <v>31</v>
      </c>
    </row>
    <row r="542" spans="1:5" x14ac:dyDescent="0.25">
      <c r="A542" s="9" t="str">
        <f t="shared" si="26"/>
        <v>00 STATUS - CHANGING CD</v>
      </c>
      <c r="B542" t="s">
        <v>199</v>
      </c>
      <c r="C542" s="7" t="str">
        <f t="shared" si="24"/>
        <v>31</v>
      </c>
      <c r="D542" s="8" t="s">
        <v>109</v>
      </c>
      <c r="E542" s="7" t="str">
        <f t="shared" si="25"/>
        <v>10</v>
      </c>
    </row>
    <row r="543" spans="1:5" x14ac:dyDescent="0.25">
      <c r="A543" s="9" t="str">
        <f t="shared" si="26"/>
        <v>84 REQUEST MORE TEXT FIELDS - SEND MAGAZINE INFO</v>
      </c>
      <c r="B543" t="s">
        <v>198</v>
      </c>
      <c r="C543" s="7" t="str">
        <f t="shared" si="24"/>
        <v>10</v>
      </c>
      <c r="D543" s="8" t="s">
        <v>109</v>
      </c>
      <c r="E543" s="7" t="str">
        <f t="shared" si="25"/>
        <v>31</v>
      </c>
    </row>
    <row r="544" spans="1:5" x14ac:dyDescent="0.25">
      <c r="A544" s="9" t="str">
        <f t="shared" si="26"/>
        <v>01 MASTER REQUEST - TIME POLL</v>
      </c>
      <c r="B544" t="s">
        <v>34</v>
      </c>
      <c r="C544" s="7" t="str">
        <f t="shared" si="24"/>
        <v>10</v>
      </c>
      <c r="D544" s="8" t="s">
        <v>109</v>
      </c>
      <c r="E544" s="7" t="str">
        <f t="shared" si="25"/>
        <v>31</v>
      </c>
    </row>
    <row r="545" spans="1:5" x14ac:dyDescent="0.25">
      <c r="A545" s="9" t="str">
        <f t="shared" si="26"/>
        <v>00 STATUS - CHANGING CD</v>
      </c>
      <c r="B545" t="s">
        <v>199</v>
      </c>
      <c r="C545" s="7" t="str">
        <f t="shared" si="24"/>
        <v>31</v>
      </c>
      <c r="D545" s="8" t="s">
        <v>109</v>
      </c>
      <c r="E545" s="7" t="str">
        <f t="shared" si="25"/>
        <v>10</v>
      </c>
    </row>
    <row r="546" spans="1:5" x14ac:dyDescent="0.25">
      <c r="A546" s="9" t="str">
        <f t="shared" si="26"/>
        <v>84 REQUEST MORE TEXT FIELDS - SEND DISC INFO</v>
      </c>
      <c r="B546" t="s">
        <v>200</v>
      </c>
      <c r="C546" s="7" t="str">
        <f t="shared" si="24"/>
        <v>10</v>
      </c>
      <c r="D546" s="8" t="s">
        <v>109</v>
      </c>
      <c r="E546" s="7" t="str">
        <f t="shared" si="25"/>
        <v>31</v>
      </c>
    </row>
    <row r="547" spans="1:5" x14ac:dyDescent="0.25">
      <c r="A547" s="9" t="str">
        <f t="shared" si="26"/>
        <v>01 MASTER REQUEST - SLAVE POLL</v>
      </c>
      <c r="B547" t="s">
        <v>18</v>
      </c>
      <c r="C547" s="7" t="str">
        <f t="shared" si="24"/>
        <v>10</v>
      </c>
      <c r="D547" s="8" t="s">
        <v>109</v>
      </c>
      <c r="E547" s="7" t="str">
        <f t="shared" si="25"/>
        <v>31</v>
      </c>
    </row>
    <row r="548" spans="1:5" x14ac:dyDescent="0.25">
      <c r="A548" s="9" t="str">
        <f t="shared" si="26"/>
        <v>95 MAGAZINE INFO - CD1 YES, CD2 YES, CD3 YES, CD4 NO, CD5 NO, CD6 NO</v>
      </c>
      <c r="B548" t="s">
        <v>216</v>
      </c>
      <c r="C548" s="7" t="str">
        <f t="shared" si="24"/>
        <v>31</v>
      </c>
      <c r="D548" s="8" t="s">
        <v>109</v>
      </c>
      <c r="E548" s="7" t="str">
        <f t="shared" si="25"/>
        <v>10</v>
      </c>
    </row>
    <row r="549" spans="1:5" x14ac:dyDescent="0.25">
      <c r="A549" s="9" t="str">
        <f t="shared" si="26"/>
        <v>01 MASTER REQUEST - SLAVE POLL</v>
      </c>
      <c r="B549" t="s">
        <v>18</v>
      </c>
      <c r="C549" s="7" t="str">
        <f t="shared" si="24"/>
        <v>10</v>
      </c>
      <c r="D549" s="8" t="s">
        <v>109</v>
      </c>
      <c r="E549" s="7" t="str">
        <f t="shared" si="25"/>
        <v>31</v>
      </c>
    </row>
    <row r="550" spans="1:5" x14ac:dyDescent="0.25">
      <c r="A550" s="9" t="str">
        <f t="shared" si="26"/>
        <v>97 DISC INFO - TRACKS: 99, MINS: 00, SECS: 00, DISC: 4</v>
      </c>
      <c r="B550" t="s">
        <v>232</v>
      </c>
      <c r="C550" s="7" t="str">
        <f t="shared" si="24"/>
        <v>31</v>
      </c>
      <c r="D550" s="8" t="s">
        <v>109</v>
      </c>
      <c r="E550" s="7" t="str">
        <f t="shared" si="25"/>
        <v>10</v>
      </c>
    </row>
    <row r="551" spans="1:5" x14ac:dyDescent="0.25">
      <c r="A551" s="9" t="str">
        <f t="shared" si="26"/>
        <v>01 MASTER REQUEST - SLAVE POLL</v>
      </c>
      <c r="B551" t="s">
        <v>18</v>
      </c>
      <c r="C551" s="7" t="str">
        <f t="shared" si="24"/>
        <v>10</v>
      </c>
      <c r="D551" s="8" t="s">
        <v>109</v>
      </c>
      <c r="E551" s="7" t="str">
        <f t="shared" si="25"/>
        <v>31</v>
      </c>
    </row>
    <row r="552" spans="1:5" x14ac:dyDescent="0.25">
      <c r="A552" s="9" t="str">
        <f t="shared" si="26"/>
        <v>00 STATUS - CHANGING CD</v>
      </c>
      <c r="B552" t="s">
        <v>199</v>
      </c>
      <c r="C552" s="7" t="str">
        <f t="shared" si="24"/>
        <v>31</v>
      </c>
      <c r="D552" s="8" t="s">
        <v>109</v>
      </c>
      <c r="E552" s="7" t="str">
        <f t="shared" si="25"/>
        <v>10</v>
      </c>
    </row>
    <row r="553" spans="1:5" x14ac:dyDescent="0.25">
      <c r="A553" s="9" t="str">
        <f t="shared" si="26"/>
        <v>84 REQUEST MORE TEXT FIELDS - SEND MAGAZINE INFO</v>
      </c>
      <c r="B553" t="s">
        <v>198</v>
      </c>
      <c r="C553" s="7" t="str">
        <f t="shared" si="24"/>
        <v>10</v>
      </c>
      <c r="D553" s="8" t="s">
        <v>109</v>
      </c>
      <c r="E553" s="7" t="str">
        <f t="shared" si="25"/>
        <v>31</v>
      </c>
    </row>
    <row r="554" spans="1:5" x14ac:dyDescent="0.25">
      <c r="A554" s="9" t="str">
        <f t="shared" si="26"/>
        <v>01 MASTER REQUEST - TIME POLL</v>
      </c>
      <c r="B554" t="s">
        <v>34</v>
      </c>
      <c r="C554" s="7" t="str">
        <f t="shared" si="24"/>
        <v>10</v>
      </c>
      <c r="D554" s="8" t="s">
        <v>109</v>
      </c>
      <c r="E554" s="7" t="str">
        <f t="shared" si="25"/>
        <v>31</v>
      </c>
    </row>
    <row r="555" spans="1:5" x14ac:dyDescent="0.25">
      <c r="A555" s="9" t="str">
        <f t="shared" si="26"/>
        <v>00 STATUS - CHANGING CD</v>
      </c>
      <c r="B555" t="s">
        <v>199</v>
      </c>
      <c r="C555" s="7" t="str">
        <f t="shared" si="24"/>
        <v>31</v>
      </c>
      <c r="D555" s="8" t="s">
        <v>109</v>
      </c>
      <c r="E555" s="7" t="str">
        <f t="shared" si="25"/>
        <v>10</v>
      </c>
    </row>
    <row r="556" spans="1:5" x14ac:dyDescent="0.25">
      <c r="A556" s="9" t="str">
        <f t="shared" si="26"/>
        <v>84 REQUEST MORE TEXT FIELDS - SEND DISC INFO</v>
      </c>
      <c r="B556" t="s">
        <v>200</v>
      </c>
      <c r="C556" s="7" t="str">
        <f t="shared" si="24"/>
        <v>10</v>
      </c>
      <c r="D556" s="8" t="s">
        <v>109</v>
      </c>
      <c r="E556" s="7" t="str">
        <f t="shared" si="25"/>
        <v>31</v>
      </c>
    </row>
    <row r="557" spans="1:5" x14ac:dyDescent="0.25">
      <c r="A557" s="9" t="str">
        <f t="shared" si="26"/>
        <v>01 MASTER REQUEST - SLAVE POLL</v>
      </c>
      <c r="B557" t="s">
        <v>18</v>
      </c>
      <c r="C557" s="7" t="str">
        <f t="shared" si="24"/>
        <v>10</v>
      </c>
      <c r="D557" s="8" t="s">
        <v>109</v>
      </c>
      <c r="E557" s="7" t="str">
        <f t="shared" si="25"/>
        <v>31</v>
      </c>
    </row>
    <row r="558" spans="1:5" x14ac:dyDescent="0.25">
      <c r="A558" s="9" t="str">
        <f t="shared" si="26"/>
        <v>95 MAGAZINE INFO - CD1 YES, CD2 YES, CD3 YES, CD4 NO, CD5 NO, CD6 NO</v>
      </c>
      <c r="B558" t="s">
        <v>216</v>
      </c>
      <c r="C558" s="7" t="str">
        <f t="shared" si="24"/>
        <v>31</v>
      </c>
      <c r="D558" s="8" t="s">
        <v>109</v>
      </c>
      <c r="E558" s="7" t="str">
        <f t="shared" si="25"/>
        <v>10</v>
      </c>
    </row>
    <row r="559" spans="1:5" x14ac:dyDescent="0.25">
      <c r="A559" s="9" t="str">
        <f t="shared" si="26"/>
        <v>01 MASTER REQUEST - SLAVE POLL</v>
      </c>
      <c r="B559" t="s">
        <v>18</v>
      </c>
      <c r="C559" s="7" t="str">
        <f t="shared" si="24"/>
        <v>10</v>
      </c>
      <c r="D559" s="8" t="s">
        <v>109</v>
      </c>
      <c r="E559" s="7" t="str">
        <f t="shared" si="25"/>
        <v>31</v>
      </c>
    </row>
    <row r="560" spans="1:5" x14ac:dyDescent="0.25">
      <c r="A560" s="9" t="str">
        <f t="shared" si="26"/>
        <v>97 DISC INFO - TRACKS: 99, MINS: 00, SECS: 00, DISC: 4</v>
      </c>
      <c r="B560" t="s">
        <v>232</v>
      </c>
      <c r="C560" s="7" t="str">
        <f t="shared" ref="C560:C623" si="27">MID(B560,4,2)</f>
        <v>31</v>
      </c>
      <c r="D560" s="8" t="s">
        <v>109</v>
      </c>
      <c r="E560" s="7" t="str">
        <f t="shared" ref="E560:E623" si="28">MID(B560,1,2)</f>
        <v>10</v>
      </c>
    </row>
    <row r="561" spans="1:5" x14ac:dyDescent="0.25">
      <c r="A561" s="9" t="str">
        <f t="shared" si="26"/>
        <v>B0 CHANGE TO DISC 4, TRACK 00</v>
      </c>
      <c r="B561" t="s">
        <v>233</v>
      </c>
      <c r="C561" s="7" t="str">
        <f t="shared" si="27"/>
        <v>11</v>
      </c>
      <c r="D561" s="8" t="s">
        <v>109</v>
      </c>
      <c r="E561" s="7" t="str">
        <f t="shared" si="28"/>
        <v>31</v>
      </c>
    </row>
    <row r="562" spans="1:5" x14ac:dyDescent="0.25">
      <c r="A562" s="9" t="str">
        <f t="shared" si="26"/>
        <v>01 MASTER REQUEST - SLAVE POLL</v>
      </c>
      <c r="B562" t="s">
        <v>18</v>
      </c>
      <c r="C562" s="7" t="str">
        <f t="shared" si="27"/>
        <v>10</v>
      </c>
      <c r="D562" s="8" t="s">
        <v>109</v>
      </c>
      <c r="E562" s="7" t="str">
        <f t="shared" si="28"/>
        <v>31</v>
      </c>
    </row>
    <row r="563" spans="1:5" x14ac:dyDescent="0.25">
      <c r="A563" s="9" t="str">
        <f t="shared" si="26"/>
        <v>00 STATUS - CHANGING CD</v>
      </c>
      <c r="B563" t="s">
        <v>199</v>
      </c>
      <c r="C563" s="7" t="str">
        <f t="shared" si="27"/>
        <v>31</v>
      </c>
      <c r="D563" s="8" t="s">
        <v>109</v>
      </c>
      <c r="E563" s="7" t="str">
        <f t="shared" si="28"/>
        <v>10</v>
      </c>
    </row>
    <row r="564" spans="1:5" x14ac:dyDescent="0.25">
      <c r="A564" s="9" t="str">
        <f t="shared" si="26"/>
        <v>84 REQUEST MORE TEXT FIELDS - SEND MAGAZINE INFO</v>
      </c>
      <c r="B564" t="s">
        <v>198</v>
      </c>
      <c r="C564" s="7" t="str">
        <f t="shared" si="27"/>
        <v>10</v>
      </c>
      <c r="D564" s="8" t="s">
        <v>109</v>
      </c>
      <c r="E564" s="7" t="str">
        <f t="shared" si="28"/>
        <v>31</v>
      </c>
    </row>
    <row r="565" spans="1:5" x14ac:dyDescent="0.25">
      <c r="A565" s="9" t="str">
        <f t="shared" si="26"/>
        <v>01 MASTER REQUEST - TIME POLL</v>
      </c>
      <c r="B565" t="s">
        <v>34</v>
      </c>
      <c r="C565" s="7" t="str">
        <f t="shared" si="27"/>
        <v>10</v>
      </c>
      <c r="D565" s="8" t="s">
        <v>109</v>
      </c>
      <c r="E565" s="7" t="str">
        <f t="shared" si="28"/>
        <v>31</v>
      </c>
    </row>
    <row r="566" spans="1:5" x14ac:dyDescent="0.25">
      <c r="A566" s="9" t="str">
        <f t="shared" si="26"/>
        <v>00 STATUS - CHANGING CD</v>
      </c>
      <c r="B566" t="s">
        <v>199</v>
      </c>
      <c r="C566" s="7" t="str">
        <f t="shared" si="27"/>
        <v>31</v>
      </c>
      <c r="D566" s="8" t="s">
        <v>109</v>
      </c>
      <c r="E566" s="7" t="str">
        <f t="shared" si="28"/>
        <v>10</v>
      </c>
    </row>
    <row r="567" spans="1:5" x14ac:dyDescent="0.25">
      <c r="A567" s="9" t="str">
        <f t="shared" si="26"/>
        <v>84 REQUEST MORE TEXT FIELDS - SEND DISC INFO</v>
      </c>
      <c r="B567" t="s">
        <v>200</v>
      </c>
      <c r="C567" s="7" t="str">
        <f t="shared" si="27"/>
        <v>10</v>
      </c>
      <c r="D567" s="8" t="s">
        <v>109</v>
      </c>
      <c r="E567" s="7" t="str">
        <f t="shared" si="28"/>
        <v>31</v>
      </c>
    </row>
    <row r="568" spans="1:5" x14ac:dyDescent="0.25">
      <c r="A568" s="9" t="str">
        <f t="shared" si="26"/>
        <v>01 MASTER REQUEST - SLAVE POLL</v>
      </c>
      <c r="B568" t="s">
        <v>18</v>
      </c>
      <c r="C568" s="7" t="str">
        <f t="shared" si="27"/>
        <v>10</v>
      </c>
      <c r="D568" s="8" t="s">
        <v>109</v>
      </c>
      <c r="E568" s="7" t="str">
        <f t="shared" si="28"/>
        <v>31</v>
      </c>
    </row>
    <row r="569" spans="1:5" x14ac:dyDescent="0.25">
      <c r="A569" s="9" t="str">
        <f t="shared" si="26"/>
        <v>97 DISC INFO - TRACKS: 99, MINS: 00, SECS: 00, DISC: 4</v>
      </c>
      <c r="B569" t="s">
        <v>232</v>
      </c>
      <c r="C569" s="7" t="str">
        <f t="shared" si="27"/>
        <v>31</v>
      </c>
      <c r="D569" s="8" t="s">
        <v>109</v>
      </c>
      <c r="E569" s="7" t="str">
        <f t="shared" si="28"/>
        <v>10</v>
      </c>
    </row>
    <row r="570" spans="1:5" x14ac:dyDescent="0.25">
      <c r="A570" s="9" t="str">
        <f t="shared" si="26"/>
        <v>01 MASTER REQUEST - SLAVE POLL</v>
      </c>
      <c r="B570" t="s">
        <v>18</v>
      </c>
      <c r="C570" s="7" t="str">
        <f t="shared" si="27"/>
        <v>10</v>
      </c>
      <c r="D570" s="8" t="s">
        <v>109</v>
      </c>
      <c r="E570" s="7" t="str">
        <f t="shared" si="28"/>
        <v>31</v>
      </c>
    </row>
    <row r="571" spans="1:5" x14ac:dyDescent="0.25">
      <c r="A571" s="9" t="str">
        <f t="shared" si="26"/>
        <v>8E MAGAZIN INFO - MAGAZIN IS EMPTY</v>
      </c>
      <c r="B571" t="s">
        <v>187</v>
      </c>
      <c r="C571" s="7" t="str">
        <f t="shared" si="27"/>
        <v>31</v>
      </c>
      <c r="D571" s="8" t="s">
        <v>109</v>
      </c>
      <c r="E571" s="7" t="str">
        <f t="shared" si="28"/>
        <v>70</v>
      </c>
    </row>
    <row r="572" spans="1:5" x14ac:dyDescent="0.25">
      <c r="A572" s="9" t="str">
        <f t="shared" si="26"/>
        <v>01 MASTER REQUEST - SLAVE POLL</v>
      </c>
      <c r="B572" t="s">
        <v>18</v>
      </c>
      <c r="C572" s="7" t="str">
        <f t="shared" si="27"/>
        <v>10</v>
      </c>
      <c r="D572" s="8" t="s">
        <v>109</v>
      </c>
      <c r="E572" s="7" t="str">
        <f t="shared" si="28"/>
        <v>31</v>
      </c>
    </row>
    <row r="573" spans="1:5" x14ac:dyDescent="0.25">
      <c r="A573" s="9" t="str">
        <f t="shared" si="26"/>
        <v>98 INTRO PLAY FINISH</v>
      </c>
      <c r="B573" t="s">
        <v>234</v>
      </c>
      <c r="C573" s="7" t="str">
        <f t="shared" si="27"/>
        <v>31</v>
      </c>
      <c r="D573" s="8" t="s">
        <v>109</v>
      </c>
      <c r="E573" s="7" t="str">
        <f t="shared" si="28"/>
        <v>10</v>
      </c>
    </row>
    <row r="574" spans="1:5" x14ac:dyDescent="0.25">
      <c r="A574" s="9" t="str">
        <f t="shared" si="26"/>
        <v>84 REQUEST MORE TEXT FIELDS - SEND MAGAZINE INFO</v>
      </c>
      <c r="B574" t="s">
        <v>198</v>
      </c>
      <c r="C574" s="7" t="str">
        <f t="shared" si="27"/>
        <v>10</v>
      </c>
      <c r="D574" s="8" t="s">
        <v>109</v>
      </c>
      <c r="E574" s="7" t="str">
        <f t="shared" si="28"/>
        <v>31</v>
      </c>
    </row>
    <row r="575" spans="1:5" x14ac:dyDescent="0.25">
      <c r="A575" s="9" t="str">
        <f t="shared" si="26"/>
        <v>01 MASTER REQUEST - TIME POLL</v>
      </c>
      <c r="B575" t="s">
        <v>34</v>
      </c>
      <c r="C575" s="7" t="str">
        <f t="shared" si="27"/>
        <v>10</v>
      </c>
      <c r="D575" s="8" t="s">
        <v>109</v>
      </c>
      <c r="E575" s="7" t="str">
        <f t="shared" si="28"/>
        <v>31</v>
      </c>
    </row>
    <row r="576" spans="1:5" x14ac:dyDescent="0.25">
      <c r="A576" s="9" t="str">
        <f t="shared" si="26"/>
        <v>00 STATUS - CHANGING CD</v>
      </c>
      <c r="B576" t="s">
        <v>199</v>
      </c>
      <c r="C576" s="7" t="str">
        <f t="shared" si="27"/>
        <v>31</v>
      </c>
      <c r="D576" s="8" t="s">
        <v>109</v>
      </c>
      <c r="E576" s="7" t="str">
        <f t="shared" si="28"/>
        <v>10</v>
      </c>
    </row>
    <row r="577" spans="1:5" x14ac:dyDescent="0.25">
      <c r="A577" s="9" t="str">
        <f t="shared" si="26"/>
        <v>84 REQUEST MORE TEXT FIELDS - SEND DISC INFO</v>
      </c>
      <c r="B577" t="s">
        <v>200</v>
      </c>
      <c r="C577" s="7" t="str">
        <f t="shared" si="27"/>
        <v>10</v>
      </c>
      <c r="D577" s="8" t="s">
        <v>109</v>
      </c>
      <c r="E577" s="7" t="str">
        <f t="shared" si="28"/>
        <v>31</v>
      </c>
    </row>
    <row r="578" spans="1:5" x14ac:dyDescent="0.25">
      <c r="A578" s="9" t="str">
        <f t="shared" si="26"/>
        <v>01 MASTER REQUEST - SLAVE POLL</v>
      </c>
      <c r="B578" t="s">
        <v>18</v>
      </c>
      <c r="C578" s="7" t="str">
        <f t="shared" si="27"/>
        <v>10</v>
      </c>
      <c r="D578" s="8" t="s">
        <v>109</v>
      </c>
      <c r="E578" s="7" t="str">
        <f t="shared" si="28"/>
        <v>31</v>
      </c>
    </row>
    <row r="579" spans="1:5" x14ac:dyDescent="0.25">
      <c r="A579" s="9" t="str">
        <f t="shared" ref="A579:A642" si="29">ParseUnilink(B579)</f>
        <v>95 MAGAZINE INFO - CD1 YES, CD2 YES, CD3 YES, CD4 NO, CD5 NO, CD6 NO</v>
      </c>
      <c r="B579" t="s">
        <v>216</v>
      </c>
      <c r="C579" s="7" t="str">
        <f t="shared" si="27"/>
        <v>31</v>
      </c>
      <c r="D579" s="8" t="s">
        <v>109</v>
      </c>
      <c r="E579" s="7" t="str">
        <f t="shared" si="28"/>
        <v>10</v>
      </c>
    </row>
    <row r="580" spans="1:5" x14ac:dyDescent="0.25">
      <c r="A580" s="9" t="str">
        <f t="shared" si="29"/>
        <v>01 MASTER REQUEST - SLAVE POLL</v>
      </c>
      <c r="B580" t="s">
        <v>18</v>
      </c>
      <c r="C580" s="7" t="str">
        <f t="shared" si="27"/>
        <v>10</v>
      </c>
      <c r="D580" s="8" t="s">
        <v>109</v>
      </c>
      <c r="E580" s="7" t="str">
        <f t="shared" si="28"/>
        <v>31</v>
      </c>
    </row>
    <row r="581" spans="1:5" x14ac:dyDescent="0.25">
      <c r="A581" s="9" t="str">
        <f t="shared" si="29"/>
        <v>01 MASTER REQUEST - SLAVE POLL</v>
      </c>
      <c r="B581" t="s">
        <v>18</v>
      </c>
      <c r="C581" s="7" t="str">
        <f t="shared" si="27"/>
        <v>10</v>
      </c>
      <c r="D581" s="8" t="s">
        <v>109</v>
      </c>
      <c r="E581" s="7" t="str">
        <f t="shared" si="28"/>
        <v>31</v>
      </c>
    </row>
    <row r="582" spans="1:5" x14ac:dyDescent="0.25">
      <c r="A582" s="9" t="str">
        <f t="shared" si="29"/>
        <v>97 DISC INFO - TRACKS: 16, MINS: 36, SECS: 00, DISC: 1</v>
      </c>
      <c r="B582" t="s">
        <v>235</v>
      </c>
      <c r="C582" s="7" t="str">
        <f t="shared" si="27"/>
        <v>31</v>
      </c>
      <c r="D582" s="8" t="s">
        <v>109</v>
      </c>
      <c r="E582" s="7" t="str">
        <f t="shared" si="28"/>
        <v>10</v>
      </c>
    </row>
    <row r="583" spans="1:5" x14ac:dyDescent="0.25">
      <c r="A583" s="9" t="str">
        <f t="shared" si="29"/>
        <v>01 MASTER REQUEST - SLAVE POLL</v>
      </c>
      <c r="B583" t="s">
        <v>18</v>
      </c>
      <c r="C583" s="7" t="str">
        <f t="shared" si="27"/>
        <v>10</v>
      </c>
      <c r="D583" s="8" t="s">
        <v>109</v>
      </c>
      <c r="E583" s="7" t="str">
        <f t="shared" si="28"/>
        <v>31</v>
      </c>
    </row>
    <row r="584" spans="1:5" x14ac:dyDescent="0.25">
      <c r="A584" s="9" t="str">
        <f t="shared" si="29"/>
        <v>01 MASTER REQUEST - SLAVE POLL</v>
      </c>
      <c r="B584" t="s">
        <v>18</v>
      </c>
      <c r="C584" s="7" t="str">
        <f t="shared" si="27"/>
        <v>10</v>
      </c>
      <c r="D584" s="8" t="s">
        <v>109</v>
      </c>
      <c r="E584" s="7" t="str">
        <f t="shared" si="28"/>
        <v>31</v>
      </c>
    </row>
    <row r="585" spans="1:5" x14ac:dyDescent="0.25">
      <c r="A585" s="9" t="str">
        <f t="shared" si="29"/>
        <v>87 WAKE FROM IDLE?</v>
      </c>
      <c r="B585" t="s">
        <v>221</v>
      </c>
      <c r="C585" s="7" t="str">
        <f t="shared" si="27"/>
        <v>10</v>
      </c>
      <c r="D585" s="8" t="s">
        <v>109</v>
      </c>
      <c r="E585" s="7" t="str">
        <f t="shared" si="28"/>
        <v>18</v>
      </c>
    </row>
    <row r="586" spans="1:5" x14ac:dyDescent="0.25">
      <c r="A586" s="9" t="str">
        <f t="shared" si="29"/>
        <v>21 SWITCH TO CD?</v>
      </c>
      <c r="B586" t="s">
        <v>196</v>
      </c>
      <c r="C586" s="7" t="str">
        <f t="shared" si="27"/>
        <v>11</v>
      </c>
      <c r="D586" s="8" t="s">
        <v>109</v>
      </c>
      <c r="E586" s="7" t="str">
        <f t="shared" si="28"/>
        <v>31</v>
      </c>
    </row>
    <row r="587" spans="1:5" x14ac:dyDescent="0.25">
      <c r="A587" s="9" t="str">
        <f t="shared" si="29"/>
        <v>20 PLAY (FROM MASTER)</v>
      </c>
      <c r="B587" t="s">
        <v>197</v>
      </c>
      <c r="C587" s="7" t="str">
        <f t="shared" si="27"/>
        <v>10</v>
      </c>
      <c r="D587" s="8" t="s">
        <v>109</v>
      </c>
      <c r="E587" s="7" t="str">
        <f t="shared" si="28"/>
        <v>31</v>
      </c>
    </row>
    <row r="588" spans="1:5" x14ac:dyDescent="0.25">
      <c r="A588" s="9" t="str">
        <f t="shared" si="29"/>
        <v>01 MASTER REQUEST - SLAVE POLL</v>
      </c>
      <c r="B588" t="s">
        <v>18</v>
      </c>
      <c r="C588" s="7" t="str">
        <f t="shared" si="27"/>
        <v>10</v>
      </c>
      <c r="D588" s="8" t="s">
        <v>109</v>
      </c>
      <c r="E588" s="7" t="str">
        <f t="shared" si="28"/>
        <v>31</v>
      </c>
    </row>
    <row r="589" spans="1:5" x14ac:dyDescent="0.25">
      <c r="A589" s="9" t="str">
        <f t="shared" si="29"/>
        <v>94 Configuration change - Mute OFF, Loudness OFF, Phone unmuted</v>
      </c>
      <c r="B589" t="s">
        <v>236</v>
      </c>
      <c r="C589" s="7" t="str">
        <f t="shared" si="27"/>
        <v>31</v>
      </c>
      <c r="D589" s="8" t="s">
        <v>109</v>
      </c>
      <c r="E589" s="7" t="str">
        <f t="shared" si="28"/>
        <v>77</v>
      </c>
    </row>
    <row r="590" spans="1:5" x14ac:dyDescent="0.25">
      <c r="A590" s="9" t="str">
        <f t="shared" si="29"/>
        <v>00 STATUS - CHANGING CD</v>
      </c>
      <c r="B590" t="s">
        <v>199</v>
      </c>
      <c r="C590" s="7" t="str">
        <f t="shared" si="27"/>
        <v>31</v>
      </c>
      <c r="D590" s="8" t="s">
        <v>109</v>
      </c>
      <c r="E590" s="7" t="str">
        <f t="shared" si="28"/>
        <v>10</v>
      </c>
    </row>
    <row r="591" spans="1:5" x14ac:dyDescent="0.25">
      <c r="A591" s="9" t="str">
        <f t="shared" si="29"/>
        <v>84 REQUEST MORE TEXT FIELDS - SEND MAGAZINE INFO</v>
      </c>
      <c r="B591" t="s">
        <v>198</v>
      </c>
      <c r="C591" s="7" t="str">
        <f t="shared" si="27"/>
        <v>10</v>
      </c>
      <c r="D591" s="8" t="s">
        <v>109</v>
      </c>
      <c r="E591" s="7" t="str">
        <f t="shared" si="28"/>
        <v>31</v>
      </c>
    </row>
    <row r="592" spans="1:5" x14ac:dyDescent="0.25">
      <c r="A592" s="9" t="str">
        <f t="shared" si="29"/>
        <v>00 STATUS - CHANGING CD</v>
      </c>
      <c r="B592" t="s">
        <v>199</v>
      </c>
      <c r="C592" s="7" t="str">
        <f t="shared" si="27"/>
        <v>31</v>
      </c>
      <c r="D592" s="8" t="s">
        <v>109</v>
      </c>
      <c r="E592" s="7" t="str">
        <f t="shared" si="28"/>
        <v>10</v>
      </c>
    </row>
    <row r="593" spans="1:5" x14ac:dyDescent="0.25">
      <c r="A593" s="9" t="str">
        <f t="shared" si="29"/>
        <v>84 REQUEST MORE TEXT FIELDS - SEND DISC INFO</v>
      </c>
      <c r="B593" t="s">
        <v>200</v>
      </c>
      <c r="C593" s="7" t="str">
        <f t="shared" si="27"/>
        <v>10</v>
      </c>
      <c r="D593" s="8" t="s">
        <v>109</v>
      </c>
      <c r="E593" s="7" t="str">
        <f t="shared" si="28"/>
        <v>31</v>
      </c>
    </row>
    <row r="594" spans="1:5" x14ac:dyDescent="0.25">
      <c r="A594" s="9" t="str">
        <f t="shared" si="29"/>
        <v>01 MASTER REQUEST - SLAVE POLL</v>
      </c>
      <c r="B594" t="s">
        <v>18</v>
      </c>
      <c r="C594" s="7" t="str">
        <f t="shared" si="27"/>
        <v>10</v>
      </c>
      <c r="D594" s="8" t="s">
        <v>109</v>
      </c>
      <c r="E594" s="7" t="str">
        <f t="shared" si="28"/>
        <v>31</v>
      </c>
    </row>
    <row r="595" spans="1:5" x14ac:dyDescent="0.25">
      <c r="A595" s="9" t="str">
        <f t="shared" si="29"/>
        <v>95 MAGAZINE INFO - CD1 YES, CD2 YES, CD3 YES, CD4 NO, CD5 NO, CD6 NO</v>
      </c>
      <c r="B595" t="s">
        <v>216</v>
      </c>
      <c r="C595" s="7" t="str">
        <f t="shared" si="27"/>
        <v>31</v>
      </c>
      <c r="D595" s="8" t="s">
        <v>109</v>
      </c>
      <c r="E595" s="7" t="str">
        <f t="shared" si="28"/>
        <v>10</v>
      </c>
    </row>
    <row r="596" spans="1:5" x14ac:dyDescent="0.25">
      <c r="A596" s="9" t="str">
        <f t="shared" si="29"/>
        <v>01 MASTER REQUEST - SLAVE POLL</v>
      </c>
      <c r="B596" t="s">
        <v>18</v>
      </c>
      <c r="C596" s="7" t="str">
        <f t="shared" si="27"/>
        <v>10</v>
      </c>
      <c r="D596" s="8" t="s">
        <v>109</v>
      </c>
      <c r="E596" s="7" t="str">
        <f t="shared" si="28"/>
        <v>31</v>
      </c>
    </row>
    <row r="597" spans="1:5" x14ac:dyDescent="0.25">
      <c r="A597" s="9" t="str">
        <f t="shared" si="29"/>
        <v>97 DISC INFO - TRACKS: 16, MINS: 36, SECS: 00, DISC: 1</v>
      </c>
      <c r="B597" t="s">
        <v>235</v>
      </c>
      <c r="C597" s="7" t="str">
        <f t="shared" si="27"/>
        <v>31</v>
      </c>
      <c r="D597" s="8" t="s">
        <v>109</v>
      </c>
      <c r="E597" s="7" t="str">
        <f t="shared" si="28"/>
        <v>10</v>
      </c>
    </row>
    <row r="598" spans="1:5" x14ac:dyDescent="0.25">
      <c r="A598" s="9" t="str">
        <f t="shared" si="29"/>
        <v>01 MASTER REQUEST - SLAVE POLL</v>
      </c>
      <c r="B598" t="s">
        <v>18</v>
      </c>
      <c r="C598" s="7" t="str">
        <f t="shared" si="27"/>
        <v>10</v>
      </c>
      <c r="D598" s="8" t="s">
        <v>109</v>
      </c>
      <c r="E598" s="7" t="str">
        <f t="shared" si="28"/>
        <v>31</v>
      </c>
    </row>
    <row r="599" spans="1:5" x14ac:dyDescent="0.25">
      <c r="A599" s="9" t="str">
        <f t="shared" si="29"/>
        <v>01 MASTER REQUEST - SLAVE POLL</v>
      </c>
      <c r="B599" t="s">
        <v>18</v>
      </c>
      <c r="C599" s="7" t="str">
        <f t="shared" si="27"/>
        <v>10</v>
      </c>
      <c r="D599" s="8" t="s">
        <v>109</v>
      </c>
      <c r="E599" s="7" t="str">
        <f t="shared" si="28"/>
        <v>31</v>
      </c>
    </row>
    <row r="600" spans="1:5" x14ac:dyDescent="0.25">
      <c r="A600" s="9" t="str">
        <f t="shared" si="29"/>
        <v>00 STATUS - CHANGING CD</v>
      </c>
      <c r="B600" t="s">
        <v>199</v>
      </c>
      <c r="C600" s="7" t="str">
        <f t="shared" si="27"/>
        <v>31</v>
      </c>
      <c r="D600" s="8" t="s">
        <v>109</v>
      </c>
      <c r="E600" s="7" t="str">
        <f t="shared" si="28"/>
        <v>10</v>
      </c>
    </row>
    <row r="601" spans="1:5" x14ac:dyDescent="0.25">
      <c r="A601" s="9" t="str">
        <f t="shared" si="29"/>
        <v>84 REQUEST MORE TEXT FIELDS - SEND MAGAZINE INFO</v>
      </c>
      <c r="B601" t="s">
        <v>198</v>
      </c>
      <c r="C601" s="7" t="str">
        <f t="shared" si="27"/>
        <v>10</v>
      </c>
      <c r="D601" s="8" t="s">
        <v>109</v>
      </c>
      <c r="E601" s="7" t="str">
        <f t="shared" si="28"/>
        <v>31</v>
      </c>
    </row>
    <row r="602" spans="1:5" x14ac:dyDescent="0.25">
      <c r="A602" s="9" t="str">
        <f t="shared" si="29"/>
        <v>01 MASTER REQUEST - TIME POLL</v>
      </c>
      <c r="B602" t="s">
        <v>34</v>
      </c>
      <c r="C602" s="7" t="str">
        <f t="shared" si="27"/>
        <v>10</v>
      </c>
      <c r="D602" s="8" t="s">
        <v>109</v>
      </c>
      <c r="E602" s="7" t="str">
        <f t="shared" si="28"/>
        <v>31</v>
      </c>
    </row>
    <row r="603" spans="1:5" x14ac:dyDescent="0.25">
      <c r="A603" s="9" t="str">
        <f t="shared" si="29"/>
        <v>00 STATUS - CHANGING CD</v>
      </c>
      <c r="B603" t="s">
        <v>199</v>
      </c>
      <c r="C603" s="7" t="str">
        <f t="shared" si="27"/>
        <v>31</v>
      </c>
      <c r="D603" s="8" t="s">
        <v>109</v>
      </c>
      <c r="E603" s="7" t="str">
        <f t="shared" si="28"/>
        <v>10</v>
      </c>
    </row>
    <row r="604" spans="1:5" x14ac:dyDescent="0.25">
      <c r="A604" s="9" t="str">
        <f t="shared" si="29"/>
        <v>84 REQUEST MORE TEXT FIELDS - SEND DISC INFO</v>
      </c>
      <c r="B604" t="s">
        <v>200</v>
      </c>
      <c r="C604" s="7" t="str">
        <f t="shared" si="27"/>
        <v>10</v>
      </c>
      <c r="D604" s="8" t="s">
        <v>109</v>
      </c>
      <c r="E604" s="7" t="str">
        <f t="shared" si="28"/>
        <v>31</v>
      </c>
    </row>
    <row r="605" spans="1:5" x14ac:dyDescent="0.25">
      <c r="A605" s="9" t="str">
        <f t="shared" si="29"/>
        <v>01 MASTER REQUEST - SLAVE POLL</v>
      </c>
      <c r="B605" t="s">
        <v>18</v>
      </c>
      <c r="C605" s="7" t="str">
        <f t="shared" si="27"/>
        <v>10</v>
      </c>
      <c r="D605" s="8" t="s">
        <v>109</v>
      </c>
      <c r="E605" s="7" t="str">
        <f t="shared" si="28"/>
        <v>31</v>
      </c>
    </row>
    <row r="606" spans="1:5" x14ac:dyDescent="0.25">
      <c r="A606" s="9" t="str">
        <f t="shared" si="29"/>
        <v>95 MAGAZINE INFO - CD1 YES, CD2 YES, CD3 YES, CD4 NO, CD5 NO, CD6 NO</v>
      </c>
      <c r="B606" t="s">
        <v>216</v>
      </c>
      <c r="C606" s="7" t="str">
        <f t="shared" si="27"/>
        <v>31</v>
      </c>
      <c r="D606" s="8" t="s">
        <v>109</v>
      </c>
      <c r="E606" s="7" t="str">
        <f t="shared" si="28"/>
        <v>10</v>
      </c>
    </row>
    <row r="607" spans="1:5" x14ac:dyDescent="0.25">
      <c r="A607" s="9" t="str">
        <f t="shared" si="29"/>
        <v>01 MASTER REQUEST - SLAVE POLL</v>
      </c>
      <c r="B607" t="s">
        <v>18</v>
      </c>
      <c r="C607" s="7" t="str">
        <f t="shared" si="27"/>
        <v>10</v>
      </c>
      <c r="D607" s="8" t="s">
        <v>109</v>
      </c>
      <c r="E607" s="7" t="str">
        <f t="shared" si="28"/>
        <v>31</v>
      </c>
    </row>
    <row r="608" spans="1:5" x14ac:dyDescent="0.25">
      <c r="A608" s="9" t="str">
        <f t="shared" si="29"/>
        <v>97 DISC INFO - TRACKS: 16, MINS: 36, SECS: 00, DISC: 1</v>
      </c>
      <c r="B608" t="s">
        <v>235</v>
      </c>
      <c r="C608" s="7" t="str">
        <f t="shared" si="27"/>
        <v>31</v>
      </c>
      <c r="D608" s="8" t="s">
        <v>109</v>
      </c>
      <c r="E608" s="7" t="str">
        <f t="shared" si="28"/>
        <v>10</v>
      </c>
    </row>
    <row r="609" spans="1:5" x14ac:dyDescent="0.25">
      <c r="A609" s="9" t="str">
        <f t="shared" si="29"/>
        <v>21 SWITCH TO CD?</v>
      </c>
      <c r="B609" t="s">
        <v>196</v>
      </c>
      <c r="C609" s="7" t="str">
        <f t="shared" si="27"/>
        <v>11</v>
      </c>
      <c r="D609" s="8" t="s">
        <v>109</v>
      </c>
      <c r="E609" s="7" t="str">
        <f t="shared" si="28"/>
        <v>31</v>
      </c>
    </row>
    <row r="610" spans="1:5" x14ac:dyDescent="0.25">
      <c r="A610" s="9" t="str">
        <f t="shared" si="29"/>
        <v>08 KEY RELEASED</v>
      </c>
      <c r="B610" t="s">
        <v>205</v>
      </c>
      <c r="C610" s="7" t="str">
        <f t="shared" si="27"/>
        <v>11</v>
      </c>
      <c r="D610" s="8" t="s">
        <v>109</v>
      </c>
      <c r="E610" s="7" t="str">
        <f t="shared" si="28"/>
        <v>18</v>
      </c>
    </row>
    <row r="611" spans="1:5" x14ac:dyDescent="0.25">
      <c r="A611" s="9" t="str">
        <f t="shared" si="29"/>
        <v>01 MASTER REQUEST - SLAVE POLL</v>
      </c>
      <c r="B611" t="s">
        <v>18</v>
      </c>
      <c r="C611" s="7" t="str">
        <f t="shared" si="27"/>
        <v>10</v>
      </c>
      <c r="D611" s="8" t="s">
        <v>109</v>
      </c>
      <c r="E611" s="7" t="str">
        <f t="shared" si="28"/>
        <v>31</v>
      </c>
    </row>
    <row r="612" spans="1:5" x14ac:dyDescent="0.25">
      <c r="A612" s="9" t="str">
        <f t="shared" si="29"/>
        <v>94 Configuration change - Mute OFF, Loudness OFF, Phone unmuted</v>
      </c>
      <c r="B612" t="s">
        <v>236</v>
      </c>
      <c r="C612" s="7" t="str">
        <f t="shared" si="27"/>
        <v>31</v>
      </c>
      <c r="D612" s="8" t="s">
        <v>109</v>
      </c>
      <c r="E612" s="7" t="str">
        <f t="shared" si="28"/>
        <v>77</v>
      </c>
    </row>
    <row r="613" spans="1:5" x14ac:dyDescent="0.25">
      <c r="A613" s="9" t="str">
        <f t="shared" si="29"/>
        <v>00 STATUS - CHANGING CD</v>
      </c>
      <c r="B613" t="s">
        <v>199</v>
      </c>
      <c r="C613" s="7" t="str">
        <f t="shared" si="27"/>
        <v>31</v>
      </c>
      <c r="D613" s="8" t="s">
        <v>109</v>
      </c>
      <c r="E613" s="7" t="str">
        <f t="shared" si="28"/>
        <v>10</v>
      </c>
    </row>
    <row r="614" spans="1:5" x14ac:dyDescent="0.25">
      <c r="A614" s="9" t="str">
        <f t="shared" si="29"/>
        <v>84 REQUEST MORE TEXT FIELDS - SEND MAGAZINE INFO</v>
      </c>
      <c r="B614" t="s">
        <v>198</v>
      </c>
      <c r="C614" s="7" t="str">
        <f t="shared" si="27"/>
        <v>10</v>
      </c>
      <c r="D614" s="8" t="s">
        <v>109</v>
      </c>
      <c r="E614" s="7" t="str">
        <f t="shared" si="28"/>
        <v>31</v>
      </c>
    </row>
    <row r="615" spans="1:5" x14ac:dyDescent="0.25">
      <c r="A615" s="9" t="str">
        <f t="shared" si="29"/>
        <v>01 MASTER REQUEST - TIME POLL</v>
      </c>
      <c r="B615" t="s">
        <v>34</v>
      </c>
      <c r="C615" s="7" t="str">
        <f t="shared" si="27"/>
        <v>10</v>
      </c>
      <c r="D615" s="8" t="s">
        <v>109</v>
      </c>
      <c r="E615" s="7" t="str">
        <f t="shared" si="28"/>
        <v>31</v>
      </c>
    </row>
    <row r="616" spans="1:5" x14ac:dyDescent="0.25">
      <c r="A616" s="9" t="str">
        <f t="shared" si="29"/>
        <v>00 STATUS - CHANGING CD</v>
      </c>
      <c r="B616" t="s">
        <v>199</v>
      </c>
      <c r="C616" s="7" t="str">
        <f t="shared" si="27"/>
        <v>31</v>
      </c>
      <c r="D616" s="8" t="s">
        <v>109</v>
      </c>
      <c r="E616" s="7" t="str">
        <f t="shared" si="28"/>
        <v>10</v>
      </c>
    </row>
    <row r="617" spans="1:5" x14ac:dyDescent="0.25">
      <c r="A617" s="9" t="str">
        <f t="shared" si="29"/>
        <v>84 REQUEST MORE TEXT FIELDS - SEND DISC INFO</v>
      </c>
      <c r="B617" t="s">
        <v>200</v>
      </c>
      <c r="C617" s="7" t="str">
        <f t="shared" si="27"/>
        <v>10</v>
      </c>
      <c r="D617" s="8" t="s">
        <v>109</v>
      </c>
      <c r="E617" s="7" t="str">
        <f t="shared" si="28"/>
        <v>31</v>
      </c>
    </row>
    <row r="618" spans="1:5" x14ac:dyDescent="0.25">
      <c r="A618" s="9" t="str">
        <f t="shared" si="29"/>
        <v>95 MAGAZINE INFO - CD1 YES, CD2 YES, CD3 YES, CD4 NO, CD5 NO, CD6 NO</v>
      </c>
      <c r="B618" t="s">
        <v>216</v>
      </c>
      <c r="C618" s="7" t="str">
        <f t="shared" si="27"/>
        <v>31</v>
      </c>
      <c r="D618" s="8" t="s">
        <v>109</v>
      </c>
      <c r="E618" s="7" t="str">
        <f t="shared" si="28"/>
        <v>10</v>
      </c>
    </row>
    <row r="619" spans="1:5" x14ac:dyDescent="0.25">
      <c r="A619" s="9" t="str">
        <f t="shared" si="29"/>
        <v>01 MASTER REQUEST - SLAVE POLL</v>
      </c>
      <c r="B619" t="s">
        <v>18</v>
      </c>
      <c r="C619" s="7" t="str">
        <f t="shared" si="27"/>
        <v>10</v>
      </c>
      <c r="D619" s="8" t="s">
        <v>109</v>
      </c>
      <c r="E619" s="7" t="str">
        <f t="shared" si="28"/>
        <v>31</v>
      </c>
    </row>
    <row r="620" spans="1:5" x14ac:dyDescent="0.25">
      <c r="A620" s="9" t="str">
        <f t="shared" si="29"/>
        <v>84 REQUEST MORE TEXT FIELDS - SEND MAGAZINE INFO</v>
      </c>
      <c r="B620" t="s">
        <v>198</v>
      </c>
      <c r="C620" s="7" t="str">
        <f t="shared" si="27"/>
        <v>10</v>
      </c>
      <c r="D620" s="8" t="s">
        <v>109</v>
      </c>
      <c r="E620" s="7" t="str">
        <f t="shared" si="28"/>
        <v>31</v>
      </c>
    </row>
    <row r="621" spans="1:5" x14ac:dyDescent="0.25">
      <c r="A621" s="9" t="str">
        <f t="shared" si="29"/>
        <v>01 MASTER REQUEST - TIME POLL</v>
      </c>
      <c r="B621" t="s">
        <v>34</v>
      </c>
      <c r="C621" s="7" t="str">
        <f t="shared" si="27"/>
        <v>10</v>
      </c>
      <c r="D621" s="8" t="s">
        <v>109</v>
      </c>
      <c r="E621" s="7" t="str">
        <f t="shared" si="28"/>
        <v>31</v>
      </c>
    </row>
    <row r="622" spans="1:5" x14ac:dyDescent="0.25">
      <c r="A622" s="9" t="str">
        <f t="shared" si="29"/>
        <v>00 STATUS - CHANGING CD</v>
      </c>
      <c r="B622" t="s">
        <v>199</v>
      </c>
      <c r="C622" s="7" t="str">
        <f t="shared" si="27"/>
        <v>31</v>
      </c>
      <c r="D622" s="8" t="s">
        <v>109</v>
      </c>
      <c r="E622" s="7" t="str">
        <f t="shared" si="28"/>
        <v>10</v>
      </c>
    </row>
    <row r="623" spans="1:5" x14ac:dyDescent="0.25">
      <c r="A623" s="9" t="str">
        <f t="shared" si="29"/>
        <v>84 REQUEST MORE TEXT FIELDS - SEND DISC INFO</v>
      </c>
      <c r="B623" t="s">
        <v>200</v>
      </c>
      <c r="C623" s="7" t="str">
        <f t="shared" si="27"/>
        <v>10</v>
      </c>
      <c r="D623" s="8" t="s">
        <v>109</v>
      </c>
      <c r="E623" s="7" t="str">
        <f t="shared" si="28"/>
        <v>31</v>
      </c>
    </row>
    <row r="624" spans="1:5" x14ac:dyDescent="0.25">
      <c r="A624" s="9" t="str">
        <f t="shared" si="29"/>
        <v>01 MASTER REQUEST - SLAVE POLL</v>
      </c>
      <c r="B624" t="s">
        <v>18</v>
      </c>
      <c r="C624" s="7" t="str">
        <f t="shared" ref="C624:C687" si="30">MID(B624,4,2)</f>
        <v>10</v>
      </c>
      <c r="D624" s="8" t="s">
        <v>109</v>
      </c>
      <c r="E624" s="7" t="str">
        <f t="shared" ref="E624:E687" si="31">MID(B624,1,2)</f>
        <v>31</v>
      </c>
    </row>
    <row r="625" spans="1:5" x14ac:dyDescent="0.25">
      <c r="A625" s="9" t="str">
        <f t="shared" si="29"/>
        <v>95 MAGAZINE INFO - CD1 YES, CD2 YES, CD3 YES, CD4 NO, CD5 NO, CD6 NO</v>
      </c>
      <c r="B625" t="s">
        <v>216</v>
      </c>
      <c r="C625" s="7" t="str">
        <f t="shared" si="30"/>
        <v>31</v>
      </c>
      <c r="D625" s="8" t="s">
        <v>109</v>
      </c>
      <c r="E625" s="7" t="str">
        <f t="shared" si="31"/>
        <v>10</v>
      </c>
    </row>
    <row r="626" spans="1:5" x14ac:dyDescent="0.25">
      <c r="A626" s="9" t="str">
        <f t="shared" si="29"/>
        <v>01 MASTER REQUEST - SLAVE POLL</v>
      </c>
      <c r="B626" t="s">
        <v>18</v>
      </c>
      <c r="C626" s="7" t="str">
        <f t="shared" si="30"/>
        <v>10</v>
      </c>
      <c r="D626" s="8" t="s">
        <v>109</v>
      </c>
      <c r="E626" s="7" t="str">
        <f t="shared" si="31"/>
        <v>31</v>
      </c>
    </row>
    <row r="627" spans="1:5" x14ac:dyDescent="0.25">
      <c r="A627" s="9" t="str">
        <f t="shared" si="29"/>
        <v>97 DISC INFO - TRACKS: 16, MINS: 36, SECS: 00, DISC: 1</v>
      </c>
      <c r="B627" t="s">
        <v>235</v>
      </c>
      <c r="C627" s="7" t="str">
        <f t="shared" si="30"/>
        <v>31</v>
      </c>
      <c r="D627" s="8" t="s">
        <v>109</v>
      </c>
      <c r="E627" s="7" t="str">
        <f t="shared" si="31"/>
        <v>10</v>
      </c>
    </row>
    <row r="628" spans="1:5" x14ac:dyDescent="0.25">
      <c r="A628" s="9" t="str">
        <f t="shared" si="29"/>
        <v>21 SWITCH TO CD?</v>
      </c>
      <c r="B628" t="s">
        <v>196</v>
      </c>
      <c r="C628" s="7" t="str">
        <f t="shared" si="30"/>
        <v>11</v>
      </c>
      <c r="D628" s="8" t="s">
        <v>109</v>
      </c>
      <c r="E628" s="7" t="str">
        <f t="shared" si="31"/>
        <v>31</v>
      </c>
    </row>
    <row r="629" spans="1:5" x14ac:dyDescent="0.25">
      <c r="A629" s="9" t="str">
        <f t="shared" si="29"/>
        <v>08 KEY RELEASED</v>
      </c>
      <c r="B629" t="s">
        <v>205</v>
      </c>
      <c r="C629" s="7" t="str">
        <f t="shared" si="30"/>
        <v>11</v>
      </c>
      <c r="D629" s="8" t="s">
        <v>109</v>
      </c>
      <c r="E629" s="7" t="str">
        <f t="shared" si="31"/>
        <v>18</v>
      </c>
    </row>
    <row r="630" spans="1:5" x14ac:dyDescent="0.25">
      <c r="A630" s="9" t="str">
        <f t="shared" si="29"/>
        <v>01 MASTER REQUEST - SLAVE POLL</v>
      </c>
      <c r="B630" t="s">
        <v>18</v>
      </c>
      <c r="C630" s="7" t="str">
        <f t="shared" si="30"/>
        <v>10</v>
      </c>
      <c r="D630" s="8" t="s">
        <v>109</v>
      </c>
      <c r="E630" s="7" t="str">
        <f t="shared" si="31"/>
        <v>31</v>
      </c>
    </row>
    <row r="631" spans="1:5" x14ac:dyDescent="0.25">
      <c r="A631" s="9" t="str">
        <f t="shared" si="29"/>
        <v>01 MASTER REQUEST - SLAVE POLL</v>
      </c>
      <c r="B631" t="s">
        <v>18</v>
      </c>
      <c r="C631" s="7" t="str">
        <f t="shared" si="30"/>
        <v>10</v>
      </c>
      <c r="D631" s="8" t="s">
        <v>109</v>
      </c>
      <c r="E631" s="7" t="str">
        <f t="shared" si="31"/>
        <v>31</v>
      </c>
    </row>
    <row r="632" spans="1:5" x14ac:dyDescent="0.25">
      <c r="A632" s="9" t="str">
        <f t="shared" si="29"/>
        <v>00 STATUS - CHANGING CD</v>
      </c>
      <c r="B632" t="s">
        <v>199</v>
      </c>
      <c r="C632" s="7" t="str">
        <f t="shared" si="30"/>
        <v>31</v>
      </c>
      <c r="D632" s="8" t="s">
        <v>109</v>
      </c>
      <c r="E632" s="7" t="str">
        <f t="shared" si="31"/>
        <v>10</v>
      </c>
    </row>
    <row r="633" spans="1:5" x14ac:dyDescent="0.25">
      <c r="A633" s="9" t="str">
        <f t="shared" si="29"/>
        <v>01 MASTER REQUEST - TIME POLL</v>
      </c>
      <c r="B633" t="s">
        <v>34</v>
      </c>
      <c r="C633" s="7" t="str">
        <f t="shared" si="30"/>
        <v>10</v>
      </c>
      <c r="D633" s="8" t="s">
        <v>109</v>
      </c>
      <c r="E633" s="7" t="str">
        <f t="shared" si="31"/>
        <v>31</v>
      </c>
    </row>
    <row r="634" spans="1:5" x14ac:dyDescent="0.25">
      <c r="A634" s="9" t="str">
        <f t="shared" si="29"/>
        <v>00 STATUS - CHANGING CD</v>
      </c>
      <c r="B634" t="s">
        <v>199</v>
      </c>
      <c r="C634" s="7" t="str">
        <f t="shared" si="30"/>
        <v>31</v>
      </c>
      <c r="D634" s="8" t="s">
        <v>109</v>
      </c>
      <c r="E634" s="7" t="str">
        <f t="shared" si="31"/>
        <v>10</v>
      </c>
    </row>
    <row r="635" spans="1:5" x14ac:dyDescent="0.25">
      <c r="A635" s="9" t="str">
        <f t="shared" si="29"/>
        <v>84 REQUEST MORE TEXT FIELDS - SEND DISC INFO</v>
      </c>
      <c r="B635" t="s">
        <v>200</v>
      </c>
      <c r="C635" s="7" t="str">
        <f t="shared" si="30"/>
        <v>10</v>
      </c>
      <c r="D635" s="8" t="s">
        <v>109</v>
      </c>
      <c r="E635" s="7" t="str">
        <f t="shared" si="31"/>
        <v>31</v>
      </c>
    </row>
    <row r="636" spans="1:5" x14ac:dyDescent="0.25">
      <c r="A636" s="9" t="str">
        <f t="shared" si="29"/>
        <v>01 MASTER REQUEST - SLAVE POLL</v>
      </c>
      <c r="B636" t="s">
        <v>18</v>
      </c>
      <c r="C636" s="7" t="str">
        <f t="shared" si="30"/>
        <v>10</v>
      </c>
      <c r="D636" s="8" t="s">
        <v>109</v>
      </c>
      <c r="E636" s="7" t="str">
        <f t="shared" si="31"/>
        <v>31</v>
      </c>
    </row>
    <row r="637" spans="1:5" x14ac:dyDescent="0.25">
      <c r="A637" s="9" t="str">
        <f t="shared" si="29"/>
        <v>95 MAGAZINE INFO - CD1 YES, CD2 YES, CD3 YES, CD4 NO, CD5 NO, CD6 NO</v>
      </c>
      <c r="B637" t="s">
        <v>216</v>
      </c>
      <c r="C637" s="7" t="str">
        <f t="shared" si="30"/>
        <v>31</v>
      </c>
      <c r="D637" s="8" t="s">
        <v>109</v>
      </c>
      <c r="E637" s="7" t="str">
        <f t="shared" si="31"/>
        <v>10</v>
      </c>
    </row>
    <row r="638" spans="1:5" x14ac:dyDescent="0.25">
      <c r="A638" s="9" t="str">
        <f t="shared" si="29"/>
        <v>97 DISC INFO - TRACKS: 16, MINS: 36, SECS: 00, DISC: 1</v>
      </c>
      <c r="B638" t="s">
        <v>235</v>
      </c>
      <c r="C638" s="7" t="str">
        <f t="shared" si="30"/>
        <v>31</v>
      </c>
      <c r="D638" s="8" t="s">
        <v>109</v>
      </c>
      <c r="E638" s="7" t="str">
        <f t="shared" si="31"/>
        <v>10</v>
      </c>
    </row>
    <row r="639" spans="1:5" x14ac:dyDescent="0.25">
      <c r="A639" s="9" t="str">
        <f t="shared" si="29"/>
        <v>01 MASTER REQUEST - SLAVE POLL</v>
      </c>
      <c r="B639" t="s">
        <v>18</v>
      </c>
      <c r="C639" s="7" t="str">
        <f t="shared" si="30"/>
        <v>10</v>
      </c>
      <c r="D639" s="8" t="s">
        <v>109</v>
      </c>
      <c r="E639" s="7" t="str">
        <f t="shared" si="31"/>
        <v>31</v>
      </c>
    </row>
    <row r="640" spans="1:5" x14ac:dyDescent="0.25">
      <c r="A640" s="9" t="str">
        <f t="shared" si="29"/>
        <v>00 STATUS - CHANGED CD</v>
      </c>
      <c r="B640" t="s">
        <v>204</v>
      </c>
      <c r="C640" s="7" t="str">
        <f t="shared" si="30"/>
        <v>31</v>
      </c>
      <c r="D640" s="8" t="s">
        <v>109</v>
      </c>
      <c r="E640" s="7" t="str">
        <f t="shared" si="31"/>
        <v>10</v>
      </c>
    </row>
    <row r="641" spans="1:5" x14ac:dyDescent="0.25">
      <c r="A641" s="9" t="str">
        <f t="shared" si="29"/>
        <v>84 REQUEST MORE TEXT FIELDS - SEND MAGAZINE INFO</v>
      </c>
      <c r="B641" t="s">
        <v>198</v>
      </c>
      <c r="C641" s="7" t="str">
        <f t="shared" si="30"/>
        <v>10</v>
      </c>
      <c r="D641" s="8" t="s">
        <v>109</v>
      </c>
      <c r="E641" s="7" t="str">
        <f t="shared" si="31"/>
        <v>31</v>
      </c>
    </row>
    <row r="642" spans="1:5" x14ac:dyDescent="0.25">
      <c r="A642" s="9" t="str">
        <f t="shared" si="29"/>
        <v>01 MASTER REQUEST - TIME POLL</v>
      </c>
      <c r="B642" t="s">
        <v>34</v>
      </c>
      <c r="C642" s="7" t="str">
        <f t="shared" si="30"/>
        <v>10</v>
      </c>
      <c r="D642" s="8" t="s">
        <v>109</v>
      </c>
      <c r="E642" s="7" t="str">
        <f t="shared" si="31"/>
        <v>31</v>
      </c>
    </row>
    <row r="643" spans="1:5" x14ac:dyDescent="0.25">
      <c r="A643" s="9" t="str">
        <f t="shared" ref="A643:A706" si="32">ParseUnilink(B643)</f>
        <v>00 STATUS - CHANGED CD</v>
      </c>
      <c r="B643" t="s">
        <v>204</v>
      </c>
      <c r="C643" s="7" t="str">
        <f t="shared" si="30"/>
        <v>31</v>
      </c>
      <c r="D643" s="8" t="s">
        <v>109</v>
      </c>
      <c r="E643" s="7" t="str">
        <f t="shared" si="31"/>
        <v>10</v>
      </c>
    </row>
    <row r="644" spans="1:5" x14ac:dyDescent="0.25">
      <c r="A644" s="9" t="str">
        <f t="shared" si="32"/>
        <v>84 REQUEST MORE TEXT FIELDS - SEND DISC INFO</v>
      </c>
      <c r="B644" t="s">
        <v>200</v>
      </c>
      <c r="C644" s="7" t="str">
        <f t="shared" si="30"/>
        <v>10</v>
      </c>
      <c r="D644" s="8" t="s">
        <v>109</v>
      </c>
      <c r="E644" s="7" t="str">
        <f t="shared" si="31"/>
        <v>31</v>
      </c>
    </row>
    <row r="645" spans="1:5" x14ac:dyDescent="0.25">
      <c r="A645" s="9" t="str">
        <f t="shared" si="32"/>
        <v>01 MASTER REQUEST - SLAVE POLL</v>
      </c>
      <c r="B645" t="s">
        <v>18</v>
      </c>
      <c r="C645" s="7" t="str">
        <f t="shared" si="30"/>
        <v>10</v>
      </c>
      <c r="D645" s="8" t="s">
        <v>109</v>
      </c>
      <c r="E645" s="7" t="str">
        <f t="shared" si="31"/>
        <v>31</v>
      </c>
    </row>
    <row r="646" spans="1:5" x14ac:dyDescent="0.25">
      <c r="A646" s="9" t="str">
        <f t="shared" si="32"/>
        <v>95 MAGAZINE INFO - CD1 YES, CD2 YES, CD3 YES, CD4 NO, CD5 NO, CD6 NO</v>
      </c>
      <c r="B646" t="s">
        <v>216</v>
      </c>
      <c r="C646" s="7" t="str">
        <f t="shared" si="30"/>
        <v>31</v>
      </c>
      <c r="D646" s="8" t="s">
        <v>109</v>
      </c>
      <c r="E646" s="7" t="str">
        <f t="shared" si="31"/>
        <v>10</v>
      </c>
    </row>
    <row r="647" spans="1:5" x14ac:dyDescent="0.25">
      <c r="A647" s="9" t="str">
        <f t="shared" si="32"/>
        <v>01 MASTER REQUEST - SLAVE POLL</v>
      </c>
      <c r="B647" t="s">
        <v>18</v>
      </c>
      <c r="C647" s="7" t="str">
        <f t="shared" si="30"/>
        <v>10</v>
      </c>
      <c r="D647" s="8" t="s">
        <v>109</v>
      </c>
      <c r="E647" s="7" t="str">
        <f t="shared" si="31"/>
        <v>31</v>
      </c>
    </row>
    <row r="648" spans="1:5" x14ac:dyDescent="0.25">
      <c r="A648" s="9" t="str">
        <f t="shared" si="32"/>
        <v>97 DISC INFO - TRACKS: 16, MINS: 36, SECS: 00, DISC: 1</v>
      </c>
      <c r="B648" t="s">
        <v>235</v>
      </c>
      <c r="C648" s="7" t="str">
        <f t="shared" si="30"/>
        <v>31</v>
      </c>
      <c r="D648" s="8" t="s">
        <v>109</v>
      </c>
      <c r="E648" s="7" t="str">
        <f t="shared" si="31"/>
        <v>10</v>
      </c>
    </row>
    <row r="649" spans="1:5" x14ac:dyDescent="0.25">
      <c r="A649" s="9" t="str">
        <f t="shared" si="32"/>
        <v>21 SWITCH TO CD?</v>
      </c>
      <c r="B649" t="s">
        <v>196</v>
      </c>
      <c r="C649" s="7" t="str">
        <f t="shared" si="30"/>
        <v>11</v>
      </c>
      <c r="D649" s="8" t="s">
        <v>109</v>
      </c>
      <c r="E649" s="7" t="str">
        <f t="shared" si="31"/>
        <v>31</v>
      </c>
    </row>
    <row r="650" spans="1:5" x14ac:dyDescent="0.25">
      <c r="A650" s="9" t="str">
        <f t="shared" si="32"/>
        <v>08 KEY RELEASED</v>
      </c>
      <c r="B650" t="s">
        <v>205</v>
      </c>
      <c r="C650" s="7" t="str">
        <f t="shared" si="30"/>
        <v>11</v>
      </c>
      <c r="D650" s="8" t="s">
        <v>109</v>
      </c>
      <c r="E650" s="7" t="str">
        <f t="shared" si="31"/>
        <v>18</v>
      </c>
    </row>
    <row r="651" spans="1:5" x14ac:dyDescent="0.25">
      <c r="A651" s="9" t="str">
        <f t="shared" si="32"/>
        <v>01 MASTER REQUEST - SLAVE POLL</v>
      </c>
      <c r="B651" t="s">
        <v>18</v>
      </c>
      <c r="C651" s="7" t="str">
        <f t="shared" si="30"/>
        <v>10</v>
      </c>
      <c r="D651" s="8" t="s">
        <v>109</v>
      </c>
      <c r="E651" s="7" t="str">
        <f t="shared" si="31"/>
        <v>31</v>
      </c>
    </row>
    <row r="652" spans="1:5" x14ac:dyDescent="0.25">
      <c r="A652" s="9" t="str">
        <f t="shared" si="32"/>
        <v>94 Configuration change - Mute OFF, Loudness OFF, Phone unmuted</v>
      </c>
      <c r="B652" t="s">
        <v>224</v>
      </c>
      <c r="C652" s="7" t="str">
        <f t="shared" si="30"/>
        <v>31</v>
      </c>
      <c r="D652" s="8" t="s">
        <v>109</v>
      </c>
      <c r="E652" s="7" t="str">
        <f t="shared" si="31"/>
        <v>77</v>
      </c>
    </row>
    <row r="653" spans="1:5" x14ac:dyDescent="0.25">
      <c r="A653" s="9" t="str">
        <f t="shared" si="32"/>
        <v>01 MASTER REQUEST - SLAVE POLL</v>
      </c>
      <c r="B653" t="s">
        <v>18</v>
      </c>
      <c r="C653" s="7" t="str">
        <f t="shared" si="30"/>
        <v>10</v>
      </c>
      <c r="D653" s="8" t="s">
        <v>109</v>
      </c>
      <c r="E653" s="7" t="str">
        <f t="shared" si="31"/>
        <v>31</v>
      </c>
    </row>
    <row r="654" spans="1:5" x14ac:dyDescent="0.25">
      <c r="A654" s="9" t="str">
        <f t="shared" si="32"/>
        <v>00 STATUS - CHANGED CD</v>
      </c>
      <c r="B654" t="s">
        <v>204</v>
      </c>
      <c r="C654" s="7" t="str">
        <f t="shared" si="30"/>
        <v>31</v>
      </c>
      <c r="D654" s="8" t="s">
        <v>109</v>
      </c>
      <c r="E654" s="7" t="str">
        <f t="shared" si="31"/>
        <v>10</v>
      </c>
    </row>
    <row r="655" spans="1:5" x14ac:dyDescent="0.25">
      <c r="A655" s="9" t="str">
        <f t="shared" si="32"/>
        <v>84 REQUEST MORE TEXT FIELDS - SEND MAGAZINE INFO</v>
      </c>
      <c r="B655" t="s">
        <v>198</v>
      </c>
      <c r="C655" s="7" t="str">
        <f t="shared" si="30"/>
        <v>10</v>
      </c>
      <c r="D655" s="8" t="s">
        <v>109</v>
      </c>
      <c r="E655" s="7" t="str">
        <f t="shared" si="31"/>
        <v>31</v>
      </c>
    </row>
    <row r="656" spans="1:5" x14ac:dyDescent="0.25">
      <c r="A656" s="9" t="str">
        <f t="shared" si="32"/>
        <v>01 MASTER REQUEST - TIME POLL</v>
      </c>
      <c r="B656" t="s">
        <v>34</v>
      </c>
      <c r="C656" s="7" t="str">
        <f t="shared" si="30"/>
        <v>10</v>
      </c>
      <c r="D656" s="8" t="s">
        <v>109</v>
      </c>
      <c r="E656" s="7" t="str">
        <f t="shared" si="31"/>
        <v>31</v>
      </c>
    </row>
    <row r="657" spans="1:5" x14ac:dyDescent="0.25">
      <c r="A657" s="9" t="str">
        <f t="shared" si="32"/>
        <v>00 STATUS - CHANGED CD</v>
      </c>
      <c r="B657" t="s">
        <v>204</v>
      </c>
      <c r="C657" s="7" t="str">
        <f t="shared" si="30"/>
        <v>31</v>
      </c>
      <c r="D657" s="8" t="s">
        <v>109</v>
      </c>
      <c r="E657" s="7" t="str">
        <f t="shared" si="31"/>
        <v>10</v>
      </c>
    </row>
    <row r="658" spans="1:5" x14ac:dyDescent="0.25">
      <c r="A658" s="9" t="str">
        <f t="shared" si="32"/>
        <v>84 REQUEST MORE TEXT FIELDS - SEND DISC INFO</v>
      </c>
      <c r="B658" t="s">
        <v>200</v>
      </c>
      <c r="C658" s="7" t="str">
        <f t="shared" si="30"/>
        <v>10</v>
      </c>
      <c r="D658" s="8" t="s">
        <v>109</v>
      </c>
      <c r="E658" s="7" t="str">
        <f t="shared" si="31"/>
        <v>31</v>
      </c>
    </row>
    <row r="659" spans="1:5" x14ac:dyDescent="0.25">
      <c r="A659" s="9" t="str">
        <f t="shared" si="32"/>
        <v>01 MASTER REQUEST - SLAVE POLL</v>
      </c>
      <c r="B659" t="s">
        <v>18</v>
      </c>
      <c r="C659" s="7" t="str">
        <f t="shared" si="30"/>
        <v>10</v>
      </c>
      <c r="D659" s="8" t="s">
        <v>109</v>
      </c>
      <c r="E659" s="7" t="str">
        <f t="shared" si="31"/>
        <v>31</v>
      </c>
    </row>
    <row r="660" spans="1:5" x14ac:dyDescent="0.25">
      <c r="A660" s="9" t="str">
        <f t="shared" si="32"/>
        <v>97 DISC INFO - TRACKS: 16, MINS: 36, SECS: 00, DISC: 1</v>
      </c>
      <c r="B660" t="s">
        <v>235</v>
      </c>
      <c r="C660" s="7" t="str">
        <f t="shared" si="30"/>
        <v>31</v>
      </c>
      <c r="D660" s="8" t="s">
        <v>109</v>
      </c>
      <c r="E660" s="7" t="str">
        <f t="shared" si="31"/>
        <v>10</v>
      </c>
    </row>
    <row r="661" spans="1:5" x14ac:dyDescent="0.25">
      <c r="A661" s="9" t="str">
        <f t="shared" si="32"/>
        <v>01 MASTER REQUEST - SLAVE POLL</v>
      </c>
      <c r="B661" t="s">
        <v>18</v>
      </c>
      <c r="C661" s="7" t="str">
        <f t="shared" si="30"/>
        <v>10</v>
      </c>
      <c r="D661" s="8" t="s">
        <v>109</v>
      </c>
      <c r="E661" s="7" t="str">
        <f t="shared" si="31"/>
        <v>31</v>
      </c>
    </row>
    <row r="662" spans="1:5" x14ac:dyDescent="0.25">
      <c r="A662" s="9" t="str">
        <f t="shared" si="32"/>
        <v>00 STATUS - CHANGED CD</v>
      </c>
      <c r="B662" t="s">
        <v>204</v>
      </c>
      <c r="C662" s="7" t="str">
        <f t="shared" si="30"/>
        <v>31</v>
      </c>
      <c r="D662" s="8" t="s">
        <v>109</v>
      </c>
      <c r="E662" s="7" t="str">
        <f t="shared" si="31"/>
        <v>10</v>
      </c>
    </row>
    <row r="663" spans="1:5" x14ac:dyDescent="0.25">
      <c r="A663" s="9" t="str">
        <f t="shared" si="32"/>
        <v>01 MASTER REQUEST - SLAVE POLL</v>
      </c>
      <c r="B663" t="s">
        <v>18</v>
      </c>
      <c r="C663" s="7" t="str">
        <f t="shared" si="30"/>
        <v>10</v>
      </c>
      <c r="D663" s="8" t="s">
        <v>109</v>
      </c>
      <c r="E663" s="7" t="str">
        <f t="shared" si="31"/>
        <v>31</v>
      </c>
    </row>
    <row r="664" spans="1:5" x14ac:dyDescent="0.25">
      <c r="A664" s="9" t="str">
        <f t="shared" si="32"/>
        <v>94 Configuration change - Mute OFF, Loudness OFF, Phone unmuted</v>
      </c>
      <c r="B664" t="s">
        <v>225</v>
      </c>
      <c r="C664" s="7" t="str">
        <f t="shared" si="30"/>
        <v>31</v>
      </c>
      <c r="D664" s="8" t="s">
        <v>109</v>
      </c>
      <c r="E664" s="7" t="str">
        <f t="shared" si="31"/>
        <v>70</v>
      </c>
    </row>
    <row r="665" spans="1:5" x14ac:dyDescent="0.25">
      <c r="A665" s="9" t="str">
        <f t="shared" si="32"/>
        <v>01 MASTER REQUEST - SLAVE POLL</v>
      </c>
      <c r="B665" t="s">
        <v>18</v>
      </c>
      <c r="C665" s="7" t="str">
        <f t="shared" si="30"/>
        <v>10</v>
      </c>
      <c r="D665" s="8" t="s">
        <v>109</v>
      </c>
      <c r="E665" s="7" t="str">
        <f t="shared" si="31"/>
        <v>31</v>
      </c>
    </row>
    <row r="666" spans="1:5" x14ac:dyDescent="0.25">
      <c r="A666" s="9" t="str">
        <f t="shared" si="32"/>
        <v>00 STATUS - CHANGED CD</v>
      </c>
      <c r="B666" t="s">
        <v>204</v>
      </c>
      <c r="C666" s="7" t="str">
        <f t="shared" si="30"/>
        <v>31</v>
      </c>
      <c r="D666" s="8" t="s">
        <v>109</v>
      </c>
      <c r="E666" s="7" t="str">
        <f t="shared" si="31"/>
        <v>10</v>
      </c>
    </row>
    <row r="667" spans="1:5" x14ac:dyDescent="0.25">
      <c r="A667" s="9" t="str">
        <f t="shared" si="32"/>
        <v>84 REQUEST MORE TEXT FIELDS - SEND MAGAZINE INFO</v>
      </c>
      <c r="B667" t="s">
        <v>198</v>
      </c>
      <c r="C667" s="7" t="str">
        <f t="shared" si="30"/>
        <v>10</v>
      </c>
      <c r="D667" s="8" t="s">
        <v>109</v>
      </c>
      <c r="E667" s="7" t="str">
        <f t="shared" si="31"/>
        <v>31</v>
      </c>
    </row>
    <row r="668" spans="1:5" x14ac:dyDescent="0.25">
      <c r="A668" s="9" t="str">
        <f t="shared" si="32"/>
        <v>01 MASTER REQUEST - TIME POLL</v>
      </c>
      <c r="B668" t="s">
        <v>34</v>
      </c>
      <c r="C668" s="7" t="str">
        <f t="shared" si="30"/>
        <v>10</v>
      </c>
      <c r="D668" s="8" t="s">
        <v>109</v>
      </c>
      <c r="E668" s="7" t="str">
        <f t="shared" si="31"/>
        <v>31</v>
      </c>
    </row>
    <row r="669" spans="1:5" x14ac:dyDescent="0.25">
      <c r="A669" s="9" t="str">
        <f t="shared" si="32"/>
        <v>00 STATUS - CHANGED CD</v>
      </c>
      <c r="B669" t="s">
        <v>204</v>
      </c>
      <c r="C669" s="7" t="str">
        <f t="shared" si="30"/>
        <v>31</v>
      </c>
      <c r="D669" s="8" t="s">
        <v>109</v>
      </c>
      <c r="E669" s="7" t="str">
        <f t="shared" si="31"/>
        <v>10</v>
      </c>
    </row>
    <row r="670" spans="1:5" x14ac:dyDescent="0.25">
      <c r="A670" s="9" t="str">
        <f t="shared" si="32"/>
        <v>01 MASTER REQUEST - SLAVE POLL</v>
      </c>
      <c r="B670" t="s">
        <v>18</v>
      </c>
      <c r="C670" s="7" t="str">
        <f t="shared" si="30"/>
        <v>10</v>
      </c>
      <c r="D670" s="8" t="s">
        <v>109</v>
      </c>
      <c r="E670" s="7" t="str">
        <f t="shared" si="31"/>
        <v>31</v>
      </c>
    </row>
    <row r="671" spans="1:5" x14ac:dyDescent="0.25">
      <c r="A671" s="9" t="str">
        <f t="shared" si="32"/>
        <v>95 MAGAZINE INFO - CD1 YES, CD2 YES, CD3 YES, CD4 NO, CD5 NO, CD6 NO</v>
      </c>
      <c r="B671" t="s">
        <v>216</v>
      </c>
      <c r="C671" s="7" t="str">
        <f t="shared" si="30"/>
        <v>31</v>
      </c>
      <c r="D671" s="8" t="s">
        <v>109</v>
      </c>
      <c r="E671" s="7" t="str">
        <f t="shared" si="31"/>
        <v>10</v>
      </c>
    </row>
    <row r="672" spans="1:5" x14ac:dyDescent="0.25">
      <c r="A672" s="9" t="str">
        <f t="shared" si="32"/>
        <v>01 MASTER REQUEST - SLAVE POLL</v>
      </c>
      <c r="B672" t="s">
        <v>18</v>
      </c>
      <c r="C672" s="7" t="str">
        <f t="shared" si="30"/>
        <v>10</v>
      </c>
      <c r="D672" s="8" t="s">
        <v>109</v>
      </c>
      <c r="E672" s="7" t="str">
        <f t="shared" si="31"/>
        <v>31</v>
      </c>
    </row>
    <row r="673" spans="1:5" x14ac:dyDescent="0.25">
      <c r="A673" s="9" t="str">
        <f t="shared" si="32"/>
        <v>01 MASTER REQUEST - SLAVE POLL</v>
      </c>
      <c r="B673" t="s">
        <v>18</v>
      </c>
      <c r="C673" s="7" t="str">
        <f t="shared" si="30"/>
        <v>10</v>
      </c>
      <c r="D673" s="8" t="s">
        <v>109</v>
      </c>
      <c r="E673" s="7" t="str">
        <f t="shared" si="31"/>
        <v>31</v>
      </c>
    </row>
    <row r="674" spans="1:5" x14ac:dyDescent="0.25">
      <c r="A674" s="9" t="str">
        <f t="shared" si="32"/>
        <v>00 STATUS - CHANGED CD</v>
      </c>
      <c r="B674" t="s">
        <v>204</v>
      </c>
      <c r="C674" s="7" t="str">
        <f t="shared" si="30"/>
        <v>31</v>
      </c>
      <c r="D674" s="8" t="s">
        <v>109</v>
      </c>
      <c r="E674" s="7" t="str">
        <f t="shared" si="31"/>
        <v>10</v>
      </c>
    </row>
    <row r="675" spans="1:5" x14ac:dyDescent="0.25">
      <c r="A675" s="9" t="str">
        <f t="shared" si="32"/>
        <v>01 MASTER REQUEST - SLAVE POLL</v>
      </c>
      <c r="B675" t="s">
        <v>18</v>
      </c>
      <c r="C675" s="7" t="str">
        <f t="shared" si="30"/>
        <v>10</v>
      </c>
      <c r="D675" s="8" t="s">
        <v>109</v>
      </c>
      <c r="E675" s="7" t="str">
        <f t="shared" si="31"/>
        <v>31</v>
      </c>
    </row>
    <row r="676" spans="1:5" x14ac:dyDescent="0.25">
      <c r="A676" s="9" t="str">
        <f t="shared" si="32"/>
        <v>01 MASTER REQUEST - SLAVE POLL</v>
      </c>
      <c r="B676" t="s">
        <v>18</v>
      </c>
      <c r="C676" s="7" t="str">
        <f t="shared" si="30"/>
        <v>10</v>
      </c>
      <c r="D676" s="8" t="s">
        <v>109</v>
      </c>
      <c r="E676" s="7" t="str">
        <f t="shared" si="31"/>
        <v>31</v>
      </c>
    </row>
    <row r="677" spans="1:5" x14ac:dyDescent="0.25">
      <c r="A677" s="9" t="str">
        <f t="shared" si="32"/>
        <v>00 STATUS - PLAYING</v>
      </c>
      <c r="B677" t="s">
        <v>226</v>
      </c>
      <c r="C677" s="7" t="str">
        <f t="shared" si="30"/>
        <v>31</v>
      </c>
      <c r="D677" s="8" t="s">
        <v>109</v>
      </c>
      <c r="E677" s="7" t="str">
        <f t="shared" si="31"/>
        <v>10</v>
      </c>
    </row>
    <row r="678" spans="1:5" x14ac:dyDescent="0.25">
      <c r="A678" s="9" t="str">
        <f t="shared" si="32"/>
        <v>84 REQUEST MORE TEXT FIELDS - SEND MAGAZINE INFO</v>
      </c>
      <c r="B678" t="s">
        <v>198</v>
      </c>
      <c r="C678" s="7" t="str">
        <f t="shared" si="30"/>
        <v>10</v>
      </c>
      <c r="D678" s="8" t="s">
        <v>109</v>
      </c>
      <c r="E678" s="7" t="str">
        <f t="shared" si="31"/>
        <v>31</v>
      </c>
    </row>
    <row r="679" spans="1:5" x14ac:dyDescent="0.25">
      <c r="A679" s="9" t="str">
        <f t="shared" si="32"/>
        <v>01 MASTER REQUEST - TIME POLL</v>
      </c>
      <c r="B679" t="s">
        <v>34</v>
      </c>
      <c r="C679" s="7" t="str">
        <f t="shared" si="30"/>
        <v>10</v>
      </c>
      <c r="D679" s="8" t="s">
        <v>109</v>
      </c>
      <c r="E679" s="7" t="str">
        <f t="shared" si="31"/>
        <v>31</v>
      </c>
    </row>
    <row r="680" spans="1:5" x14ac:dyDescent="0.25">
      <c r="A680" s="9" t="str">
        <f t="shared" si="32"/>
        <v>00 STATUS - PLAYING</v>
      </c>
      <c r="B680" t="s">
        <v>226</v>
      </c>
      <c r="C680" s="7" t="str">
        <f t="shared" si="30"/>
        <v>31</v>
      </c>
      <c r="D680" s="8" t="s">
        <v>109</v>
      </c>
      <c r="E680" s="7" t="str">
        <f t="shared" si="31"/>
        <v>10</v>
      </c>
    </row>
    <row r="681" spans="1:5" x14ac:dyDescent="0.25">
      <c r="A681" s="9" t="str">
        <f t="shared" si="32"/>
        <v>84 REQUEST MORE TEXT FIELDS - SEND DISC INFO</v>
      </c>
      <c r="B681" t="s">
        <v>200</v>
      </c>
      <c r="C681" s="7" t="str">
        <f t="shared" si="30"/>
        <v>10</v>
      </c>
      <c r="D681" s="8" t="s">
        <v>109</v>
      </c>
      <c r="E681" s="7" t="str">
        <f t="shared" si="31"/>
        <v>31</v>
      </c>
    </row>
    <row r="682" spans="1:5" x14ac:dyDescent="0.25">
      <c r="A682" s="9" t="str">
        <f t="shared" si="32"/>
        <v>01 MASTER REQUEST - SLAVE POLL</v>
      </c>
      <c r="B682" t="s">
        <v>18</v>
      </c>
      <c r="C682" s="7" t="str">
        <f t="shared" si="30"/>
        <v>10</v>
      </c>
      <c r="D682" s="8" t="s">
        <v>109</v>
      </c>
      <c r="E682" s="7" t="str">
        <f t="shared" si="31"/>
        <v>31</v>
      </c>
    </row>
    <row r="683" spans="1:5" x14ac:dyDescent="0.25">
      <c r="A683" s="9" t="str">
        <f t="shared" si="32"/>
        <v>95 MAGAZINE INFO - CD1 YES, CD2 YES, CD3 YES, CD4 NO, CD5 NO, CD6 NO</v>
      </c>
      <c r="B683" t="s">
        <v>216</v>
      </c>
      <c r="C683" s="7" t="str">
        <f t="shared" si="30"/>
        <v>31</v>
      </c>
      <c r="D683" s="8" t="s">
        <v>109</v>
      </c>
      <c r="E683" s="7" t="str">
        <f t="shared" si="31"/>
        <v>10</v>
      </c>
    </row>
    <row r="684" spans="1:5" x14ac:dyDescent="0.25">
      <c r="A684" s="9" t="str">
        <f t="shared" si="32"/>
        <v>01 MASTER REQUEST - SLAVE POLL</v>
      </c>
      <c r="B684" t="s">
        <v>18</v>
      </c>
      <c r="C684" s="7" t="str">
        <f t="shared" si="30"/>
        <v>10</v>
      </c>
      <c r="D684" s="8" t="s">
        <v>109</v>
      </c>
      <c r="E684" s="7" t="str">
        <f t="shared" si="31"/>
        <v>31</v>
      </c>
    </row>
    <row r="685" spans="1:5" x14ac:dyDescent="0.25">
      <c r="A685" s="9" t="str">
        <f t="shared" si="32"/>
        <v>90 TIME- TRACK: 01, 00:01, DISC: 1</v>
      </c>
      <c r="B685" t="s">
        <v>237</v>
      </c>
      <c r="C685" s="7" t="str">
        <f t="shared" si="30"/>
        <v>31</v>
      </c>
      <c r="D685" s="8" t="s">
        <v>109</v>
      </c>
      <c r="E685" s="7" t="str">
        <f t="shared" si="31"/>
        <v>70</v>
      </c>
    </row>
    <row r="686" spans="1:5" x14ac:dyDescent="0.25">
      <c r="A686" s="9" t="str">
        <f t="shared" si="32"/>
        <v>01 MASTER REQUEST - SLAVE POLL</v>
      </c>
      <c r="B686" t="s">
        <v>18</v>
      </c>
      <c r="C686" s="7" t="str">
        <f t="shared" si="30"/>
        <v>10</v>
      </c>
      <c r="D686" s="8" t="s">
        <v>109</v>
      </c>
      <c r="E686" s="7" t="str">
        <f t="shared" si="31"/>
        <v>31</v>
      </c>
    </row>
    <row r="687" spans="1:5" x14ac:dyDescent="0.25">
      <c r="A687" s="9" t="str">
        <f t="shared" si="32"/>
        <v>97 DISC INFO - TRACKS: 16, MINS: 79, SECS: 36, DISC: 1</v>
      </c>
      <c r="B687" t="s">
        <v>207</v>
      </c>
      <c r="C687" s="7" t="str">
        <f t="shared" si="30"/>
        <v>31</v>
      </c>
      <c r="D687" s="8" t="s">
        <v>109</v>
      </c>
      <c r="E687" s="7" t="str">
        <f t="shared" si="31"/>
        <v>10</v>
      </c>
    </row>
    <row r="688" spans="1:5" x14ac:dyDescent="0.25">
      <c r="A688" s="9" t="str">
        <f t="shared" si="32"/>
        <v>01 MASTER REQUEST - SLAVE POLL</v>
      </c>
      <c r="B688" t="s">
        <v>18</v>
      </c>
      <c r="C688" s="7" t="str">
        <f t="shared" ref="C688:C751" si="33">MID(B688,4,2)</f>
        <v>10</v>
      </c>
      <c r="D688" s="8" t="s">
        <v>109</v>
      </c>
      <c r="E688" s="7" t="str">
        <f t="shared" ref="E688:E751" si="34">MID(B688,1,2)</f>
        <v>31</v>
      </c>
    </row>
    <row r="689" spans="1:5" x14ac:dyDescent="0.25">
      <c r="A689" s="9" t="str">
        <f t="shared" si="32"/>
        <v>00 STATUS - PLAYING</v>
      </c>
      <c r="B689" t="s">
        <v>226</v>
      </c>
      <c r="C689" s="7" t="str">
        <f t="shared" si="33"/>
        <v>31</v>
      </c>
      <c r="D689" s="8" t="s">
        <v>109</v>
      </c>
      <c r="E689" s="7" t="str">
        <f t="shared" si="34"/>
        <v>10</v>
      </c>
    </row>
    <row r="690" spans="1:5" x14ac:dyDescent="0.25">
      <c r="A690" s="9" t="str">
        <f t="shared" si="32"/>
        <v>01 MASTER REQUEST - SLAVE POLL</v>
      </c>
      <c r="B690" t="s">
        <v>18</v>
      </c>
      <c r="C690" s="7" t="str">
        <f t="shared" si="33"/>
        <v>10</v>
      </c>
      <c r="D690" s="8" t="s">
        <v>109</v>
      </c>
      <c r="E690" s="7" t="str">
        <f t="shared" si="34"/>
        <v>31</v>
      </c>
    </row>
    <row r="691" spans="1:5" x14ac:dyDescent="0.25">
      <c r="A691" s="9" t="str">
        <f t="shared" si="32"/>
        <v>00 STATUS - PLAYING</v>
      </c>
      <c r="B691" t="s">
        <v>226</v>
      </c>
      <c r="C691" s="7" t="str">
        <f t="shared" si="33"/>
        <v>31</v>
      </c>
      <c r="D691" s="8" t="s">
        <v>109</v>
      </c>
      <c r="E691" s="7" t="str">
        <f t="shared" si="34"/>
        <v>10</v>
      </c>
    </row>
    <row r="692" spans="1:5" x14ac:dyDescent="0.25">
      <c r="A692" s="9" t="str">
        <f t="shared" si="32"/>
        <v>84 REQUEST MORE TEXT FIELDS - SEND MAGAZINE INFO</v>
      </c>
      <c r="B692" t="s">
        <v>198</v>
      </c>
      <c r="C692" s="7" t="str">
        <f t="shared" si="33"/>
        <v>10</v>
      </c>
      <c r="D692" s="8" t="s">
        <v>109</v>
      </c>
      <c r="E692" s="7" t="str">
        <f t="shared" si="34"/>
        <v>31</v>
      </c>
    </row>
    <row r="693" spans="1:5" x14ac:dyDescent="0.25">
      <c r="A693" s="9" t="str">
        <f t="shared" si="32"/>
        <v>01 MASTER REQUEST - TIME POLL</v>
      </c>
      <c r="B693" t="s">
        <v>34</v>
      </c>
      <c r="C693" s="7" t="str">
        <f t="shared" si="33"/>
        <v>10</v>
      </c>
      <c r="D693" s="8" t="s">
        <v>109</v>
      </c>
      <c r="E693" s="7" t="str">
        <f t="shared" si="34"/>
        <v>31</v>
      </c>
    </row>
    <row r="694" spans="1:5" x14ac:dyDescent="0.25">
      <c r="A694" s="9" t="str">
        <f t="shared" si="32"/>
        <v>00 STATUS - PLAYING</v>
      </c>
      <c r="B694" t="s">
        <v>226</v>
      </c>
      <c r="C694" s="7" t="str">
        <f t="shared" si="33"/>
        <v>31</v>
      </c>
      <c r="D694" s="8" t="s">
        <v>109</v>
      </c>
      <c r="E694" s="7" t="str">
        <f t="shared" si="34"/>
        <v>10</v>
      </c>
    </row>
    <row r="695" spans="1:5" x14ac:dyDescent="0.25">
      <c r="A695" s="9" t="str">
        <f t="shared" si="32"/>
        <v>01 MASTER REQUEST - SLAVE POLL</v>
      </c>
      <c r="B695" t="s">
        <v>18</v>
      </c>
      <c r="C695" s="7" t="str">
        <f t="shared" si="33"/>
        <v>10</v>
      </c>
      <c r="D695" s="8" t="s">
        <v>109</v>
      </c>
      <c r="E695" s="7" t="str">
        <f t="shared" si="34"/>
        <v>31</v>
      </c>
    </row>
    <row r="696" spans="1:5" x14ac:dyDescent="0.25">
      <c r="A696" s="9" t="str">
        <f t="shared" si="32"/>
        <v>95 MAGAZINE INFO - CD1 YES, CD2 YES, CD3 YES, CD4 NO, CD5 NO, CD6 NO</v>
      </c>
      <c r="B696" t="s">
        <v>216</v>
      </c>
      <c r="C696" s="7" t="str">
        <f t="shared" si="33"/>
        <v>31</v>
      </c>
      <c r="D696" s="8" t="s">
        <v>109</v>
      </c>
      <c r="E696" s="7" t="str">
        <f t="shared" si="34"/>
        <v>10</v>
      </c>
    </row>
    <row r="697" spans="1:5" x14ac:dyDescent="0.25">
      <c r="A697" s="9" t="str">
        <f t="shared" si="32"/>
        <v>01 MASTER REQUEST - SLAVE POLL</v>
      </c>
      <c r="B697" t="s">
        <v>18</v>
      </c>
      <c r="C697" s="7" t="str">
        <f t="shared" si="33"/>
        <v>10</v>
      </c>
      <c r="D697" s="8" t="s">
        <v>109</v>
      </c>
      <c r="E697" s="7" t="str">
        <f t="shared" si="34"/>
        <v>31</v>
      </c>
    </row>
    <row r="698" spans="1:5" x14ac:dyDescent="0.25">
      <c r="A698" s="9" t="str">
        <f t="shared" si="32"/>
        <v>00 STATUS - PLAYING</v>
      </c>
      <c r="B698" t="s">
        <v>226</v>
      </c>
      <c r="C698" s="7" t="str">
        <f t="shared" si="33"/>
        <v>31</v>
      </c>
      <c r="D698" s="8" t="s">
        <v>109</v>
      </c>
      <c r="E698" s="7" t="str">
        <f t="shared" si="34"/>
        <v>10</v>
      </c>
    </row>
    <row r="699" spans="1:5" x14ac:dyDescent="0.25">
      <c r="A699" s="9" t="str">
        <f t="shared" si="32"/>
        <v>84 REQUEST MORE TEXT FIELDS - SEND DISC INFO</v>
      </c>
      <c r="B699" t="s">
        <v>200</v>
      </c>
      <c r="C699" s="7" t="str">
        <f t="shared" si="33"/>
        <v>10</v>
      </c>
      <c r="D699" s="8" t="s">
        <v>109</v>
      </c>
      <c r="E699" s="7" t="str">
        <f t="shared" si="34"/>
        <v>31</v>
      </c>
    </row>
    <row r="700" spans="1:5" x14ac:dyDescent="0.25">
      <c r="A700" s="9" t="str">
        <f t="shared" si="32"/>
        <v>01 MASTER REQUEST - SLAVE POLL</v>
      </c>
      <c r="B700" t="s">
        <v>18</v>
      </c>
      <c r="C700" s="7" t="str">
        <f t="shared" si="33"/>
        <v>10</v>
      </c>
      <c r="D700" s="8" t="s">
        <v>109</v>
      </c>
      <c r="E700" s="7" t="str">
        <f t="shared" si="34"/>
        <v>31</v>
      </c>
    </row>
    <row r="701" spans="1:5" x14ac:dyDescent="0.25">
      <c r="A701" s="9" t="str">
        <f t="shared" si="32"/>
        <v>97 DISC INFO - TRACKS: 16, MINS: 79, SECS: 36, DISC: 1</v>
      </c>
      <c r="B701" t="s">
        <v>207</v>
      </c>
      <c r="C701" s="7" t="str">
        <f t="shared" si="33"/>
        <v>31</v>
      </c>
      <c r="D701" s="8" t="s">
        <v>109</v>
      </c>
      <c r="E701" s="7" t="str">
        <f t="shared" si="34"/>
        <v>10</v>
      </c>
    </row>
    <row r="702" spans="1:5" x14ac:dyDescent="0.25">
      <c r="A702" s="9" t="str">
        <f t="shared" si="32"/>
        <v>00 STATUS - PLAYING</v>
      </c>
      <c r="B702" t="s">
        <v>226</v>
      </c>
      <c r="C702" s="7" t="str">
        <f t="shared" si="33"/>
        <v>31</v>
      </c>
      <c r="D702" s="8" t="s">
        <v>109</v>
      </c>
      <c r="E702" s="7" t="str">
        <f t="shared" si="34"/>
        <v>10</v>
      </c>
    </row>
    <row r="703" spans="1:5" x14ac:dyDescent="0.25">
      <c r="A703" s="9" t="str">
        <f t="shared" si="32"/>
        <v>B0 CHANGE TO DISC 5, TRACK 00</v>
      </c>
      <c r="B703" t="s">
        <v>238</v>
      </c>
      <c r="C703" s="7" t="str">
        <f t="shared" si="33"/>
        <v>11</v>
      </c>
      <c r="D703" s="8" t="s">
        <v>109</v>
      </c>
      <c r="E703" s="7" t="str">
        <f t="shared" si="34"/>
        <v>31</v>
      </c>
    </row>
    <row r="704" spans="1:5" x14ac:dyDescent="0.25">
      <c r="A704" s="9" t="str">
        <f t="shared" si="32"/>
        <v>01 MASTER REQUEST - SLAVE POLL</v>
      </c>
      <c r="B704" t="s">
        <v>18</v>
      </c>
      <c r="C704" s="7" t="str">
        <f t="shared" si="33"/>
        <v>10</v>
      </c>
      <c r="D704" s="8" t="s">
        <v>109</v>
      </c>
      <c r="E704" s="7" t="str">
        <f t="shared" si="34"/>
        <v>31</v>
      </c>
    </row>
    <row r="705" spans="1:5" x14ac:dyDescent="0.25">
      <c r="A705" s="9" t="str">
        <f t="shared" si="32"/>
        <v>84 REQUEST MORE TEXT FIELDS - SEND MAGAZINE INFO</v>
      </c>
      <c r="B705" t="s">
        <v>198</v>
      </c>
      <c r="C705" s="7" t="str">
        <f t="shared" si="33"/>
        <v>10</v>
      </c>
      <c r="D705" s="8" t="s">
        <v>109</v>
      </c>
      <c r="E705" s="7" t="str">
        <f t="shared" si="34"/>
        <v>31</v>
      </c>
    </row>
    <row r="706" spans="1:5" x14ac:dyDescent="0.25">
      <c r="A706" s="9" t="str">
        <f t="shared" si="32"/>
        <v>01 MASTER REQUEST - TIME POLL</v>
      </c>
      <c r="B706" t="s">
        <v>34</v>
      </c>
      <c r="C706" s="7" t="str">
        <f t="shared" si="33"/>
        <v>10</v>
      </c>
      <c r="D706" s="8" t="s">
        <v>109</v>
      </c>
      <c r="E706" s="7" t="str">
        <f t="shared" si="34"/>
        <v>31</v>
      </c>
    </row>
    <row r="707" spans="1:5" x14ac:dyDescent="0.25">
      <c r="A707" s="9" t="str">
        <f t="shared" ref="A707:A770" si="35">ParseUnilink(B707)</f>
        <v>00 STATUS - CHANGING CD</v>
      </c>
      <c r="B707" t="s">
        <v>199</v>
      </c>
      <c r="C707" s="7" t="str">
        <f t="shared" si="33"/>
        <v>31</v>
      </c>
      <c r="D707" s="8" t="s">
        <v>109</v>
      </c>
      <c r="E707" s="7" t="str">
        <f t="shared" si="34"/>
        <v>10</v>
      </c>
    </row>
    <row r="708" spans="1:5" x14ac:dyDescent="0.25">
      <c r="A708" s="9" t="str">
        <f t="shared" si="35"/>
        <v>84 REQUEST MORE TEXT FIELDS - SEND DISC INFO</v>
      </c>
      <c r="B708" t="s">
        <v>200</v>
      </c>
      <c r="C708" s="7" t="str">
        <f t="shared" si="33"/>
        <v>10</v>
      </c>
      <c r="D708" s="8" t="s">
        <v>109</v>
      </c>
      <c r="E708" s="7" t="str">
        <f t="shared" si="34"/>
        <v>31</v>
      </c>
    </row>
    <row r="709" spans="1:5" x14ac:dyDescent="0.25">
      <c r="A709" s="9" t="str">
        <f t="shared" si="35"/>
        <v>01 MASTER REQUEST - SLAVE POLL</v>
      </c>
      <c r="B709" t="s">
        <v>18</v>
      </c>
      <c r="C709" s="7" t="str">
        <f t="shared" si="33"/>
        <v>10</v>
      </c>
      <c r="D709" s="8" t="s">
        <v>109</v>
      </c>
      <c r="E709" s="7" t="str">
        <f t="shared" si="34"/>
        <v>31</v>
      </c>
    </row>
    <row r="710" spans="1:5" x14ac:dyDescent="0.25">
      <c r="A710" s="9" t="str">
        <f t="shared" si="35"/>
        <v>95 MAGAZINE INFO - CD1 YES, CD2 YES, CD3 YES, CD4 NO, CD5 NO, CD6 NO</v>
      </c>
      <c r="B710" t="s">
        <v>216</v>
      </c>
      <c r="C710" s="7" t="str">
        <f t="shared" si="33"/>
        <v>31</v>
      </c>
      <c r="D710" s="8" t="s">
        <v>109</v>
      </c>
      <c r="E710" s="7" t="str">
        <f t="shared" si="34"/>
        <v>10</v>
      </c>
    </row>
    <row r="711" spans="1:5" x14ac:dyDescent="0.25">
      <c r="A711" s="9" t="str">
        <f t="shared" si="35"/>
        <v>01 MASTER REQUEST - SLAVE POLL</v>
      </c>
      <c r="B711" t="s">
        <v>18</v>
      </c>
      <c r="C711" s="7" t="str">
        <f t="shared" si="33"/>
        <v>10</v>
      </c>
      <c r="D711" s="8" t="s">
        <v>109</v>
      </c>
      <c r="E711" s="7" t="str">
        <f t="shared" si="34"/>
        <v>31</v>
      </c>
    </row>
    <row r="712" spans="1:5" x14ac:dyDescent="0.25">
      <c r="A712" s="9" t="str">
        <f t="shared" si="35"/>
        <v>97 DISC INFO - TRACKS: 99, MINS: 00, SECS: 00, DISC: 5</v>
      </c>
      <c r="B712" t="s">
        <v>239</v>
      </c>
      <c r="C712" s="7" t="str">
        <f t="shared" si="33"/>
        <v>31</v>
      </c>
      <c r="D712" s="8" t="s">
        <v>109</v>
      </c>
      <c r="E712" s="7" t="str">
        <f t="shared" si="34"/>
        <v>10</v>
      </c>
    </row>
    <row r="713" spans="1:5" x14ac:dyDescent="0.25">
      <c r="A713" s="9" t="str">
        <f t="shared" si="35"/>
        <v>01 MASTER REQUEST - SLAVE POLL</v>
      </c>
      <c r="B713" t="s">
        <v>18</v>
      </c>
      <c r="C713" s="7" t="str">
        <f t="shared" si="33"/>
        <v>10</v>
      </c>
      <c r="D713" s="8" t="s">
        <v>109</v>
      </c>
      <c r="E713" s="7" t="str">
        <f t="shared" si="34"/>
        <v>31</v>
      </c>
    </row>
    <row r="714" spans="1:5" x14ac:dyDescent="0.25">
      <c r="A714" s="9" t="str">
        <f t="shared" si="35"/>
        <v>00 STATUS - CHANGING CD</v>
      </c>
      <c r="B714" t="s">
        <v>199</v>
      </c>
      <c r="C714" s="7" t="str">
        <f t="shared" si="33"/>
        <v>31</v>
      </c>
      <c r="D714" s="8" t="s">
        <v>109</v>
      </c>
      <c r="E714" s="7" t="str">
        <f t="shared" si="34"/>
        <v>10</v>
      </c>
    </row>
    <row r="715" spans="1:5" x14ac:dyDescent="0.25">
      <c r="A715" s="9" t="str">
        <f t="shared" si="35"/>
        <v>01 MASTER REQUEST - TIME POLL</v>
      </c>
      <c r="B715" t="s">
        <v>34</v>
      </c>
      <c r="C715" s="7" t="str">
        <f t="shared" si="33"/>
        <v>10</v>
      </c>
      <c r="D715" s="8" t="s">
        <v>109</v>
      </c>
      <c r="E715" s="7" t="str">
        <f t="shared" si="34"/>
        <v>31</v>
      </c>
    </row>
    <row r="716" spans="1:5" x14ac:dyDescent="0.25">
      <c r="A716" s="9" t="str">
        <f t="shared" si="35"/>
        <v>00 STATUS - CHANGING CD</v>
      </c>
      <c r="B716" t="s">
        <v>199</v>
      </c>
      <c r="C716" s="7" t="str">
        <f t="shared" si="33"/>
        <v>31</v>
      </c>
      <c r="D716" s="8" t="s">
        <v>109</v>
      </c>
      <c r="E716" s="7" t="str">
        <f t="shared" si="34"/>
        <v>10</v>
      </c>
    </row>
    <row r="717" spans="1:5" x14ac:dyDescent="0.25">
      <c r="A717" s="9" t="str">
        <f t="shared" si="35"/>
        <v>84 REQUEST MORE TEXT FIELDS - SEND DISC INFO</v>
      </c>
      <c r="B717" t="s">
        <v>200</v>
      </c>
      <c r="C717" s="7" t="str">
        <f t="shared" si="33"/>
        <v>10</v>
      </c>
      <c r="D717" s="8" t="s">
        <v>109</v>
      </c>
      <c r="E717" s="7" t="str">
        <f t="shared" si="34"/>
        <v>31</v>
      </c>
    </row>
    <row r="718" spans="1:5" x14ac:dyDescent="0.25">
      <c r="A718" s="9" t="str">
        <f t="shared" si="35"/>
        <v>01 MASTER REQUEST - SLAVE POLL</v>
      </c>
      <c r="B718" t="s">
        <v>18</v>
      </c>
      <c r="C718" s="7" t="str">
        <f t="shared" si="33"/>
        <v>10</v>
      </c>
      <c r="D718" s="8" t="s">
        <v>109</v>
      </c>
      <c r="E718" s="7" t="str">
        <f t="shared" si="34"/>
        <v>31</v>
      </c>
    </row>
    <row r="719" spans="1:5" x14ac:dyDescent="0.25">
      <c r="A719" s="9" t="str">
        <f t="shared" si="35"/>
        <v>95 MAGAZINE INFO - CD1 YES, CD2 YES, CD3 YES, CD4 NO, CD5 NO, CD6 NO</v>
      </c>
      <c r="B719" t="s">
        <v>216</v>
      </c>
      <c r="C719" s="7" t="str">
        <f t="shared" si="33"/>
        <v>31</v>
      </c>
      <c r="D719" s="8" t="s">
        <v>109</v>
      </c>
      <c r="E719" s="7" t="str">
        <f t="shared" si="34"/>
        <v>10</v>
      </c>
    </row>
    <row r="720" spans="1:5" x14ac:dyDescent="0.25">
      <c r="A720" s="9" t="str">
        <f t="shared" si="35"/>
        <v>01 MASTER REQUEST - SLAVE POLL</v>
      </c>
      <c r="B720" t="s">
        <v>18</v>
      </c>
      <c r="C720" s="7" t="str">
        <f t="shared" si="33"/>
        <v>10</v>
      </c>
      <c r="D720" s="8" t="s">
        <v>109</v>
      </c>
      <c r="E720" s="7" t="str">
        <f t="shared" si="34"/>
        <v>31</v>
      </c>
    </row>
    <row r="721" spans="1:5" x14ac:dyDescent="0.25">
      <c r="A721" s="9" t="str">
        <f t="shared" si="35"/>
        <v>97 DISC INFO - TRACKS: 99, MINS: 00, SECS: 00, DISC: 5</v>
      </c>
      <c r="B721" t="s">
        <v>239</v>
      </c>
      <c r="C721" s="7" t="str">
        <f t="shared" si="33"/>
        <v>31</v>
      </c>
      <c r="D721" s="8" t="s">
        <v>109</v>
      </c>
      <c r="E721" s="7" t="str">
        <f t="shared" si="34"/>
        <v>10</v>
      </c>
    </row>
    <row r="722" spans="1:5" x14ac:dyDescent="0.25">
      <c r="A722" s="9" t="str">
        <f t="shared" si="35"/>
        <v>B0 CHANGE TO DISC 5, TRACK 00</v>
      </c>
      <c r="B722" t="s">
        <v>238</v>
      </c>
      <c r="C722" s="7" t="str">
        <f t="shared" si="33"/>
        <v>11</v>
      </c>
      <c r="D722" s="8" t="s">
        <v>109</v>
      </c>
      <c r="E722" s="7" t="str">
        <f t="shared" si="34"/>
        <v>31</v>
      </c>
    </row>
    <row r="723" spans="1:5" x14ac:dyDescent="0.25">
      <c r="A723" s="9" t="str">
        <f t="shared" si="35"/>
        <v>01 MASTER REQUEST - SLAVE POLL</v>
      </c>
      <c r="B723" t="s">
        <v>18</v>
      </c>
      <c r="C723" s="7" t="str">
        <f t="shared" si="33"/>
        <v>10</v>
      </c>
      <c r="D723" s="8" t="s">
        <v>109</v>
      </c>
      <c r="E723" s="7" t="str">
        <f t="shared" si="34"/>
        <v>31</v>
      </c>
    </row>
    <row r="724" spans="1:5" x14ac:dyDescent="0.25">
      <c r="A724" s="9" t="str">
        <f t="shared" si="35"/>
        <v>01 MASTER REQUEST - SLAVE POLL</v>
      </c>
      <c r="B724" t="s">
        <v>18</v>
      </c>
      <c r="C724" s="7" t="str">
        <f t="shared" si="33"/>
        <v>10</v>
      </c>
      <c r="D724" s="8" t="s">
        <v>109</v>
      </c>
      <c r="E724" s="7" t="str">
        <f t="shared" si="34"/>
        <v>31</v>
      </c>
    </row>
    <row r="725" spans="1:5" x14ac:dyDescent="0.25">
      <c r="A725" s="9" t="str">
        <f t="shared" si="35"/>
        <v>00 STATUS - CHANGING CD</v>
      </c>
      <c r="B725" t="s">
        <v>199</v>
      </c>
      <c r="C725" s="7" t="str">
        <f t="shared" si="33"/>
        <v>31</v>
      </c>
      <c r="D725" s="8" t="s">
        <v>109</v>
      </c>
      <c r="E725" s="7" t="str">
        <f t="shared" si="34"/>
        <v>10</v>
      </c>
    </row>
    <row r="726" spans="1:5" x14ac:dyDescent="0.25">
      <c r="A726" s="9" t="str">
        <f t="shared" si="35"/>
        <v>84 REQUEST MORE TEXT FIELDS - SEND MAGAZINE INFO</v>
      </c>
      <c r="B726" t="s">
        <v>198</v>
      </c>
      <c r="C726" s="7" t="str">
        <f t="shared" si="33"/>
        <v>10</v>
      </c>
      <c r="D726" s="8" t="s">
        <v>109</v>
      </c>
      <c r="E726" s="7" t="str">
        <f t="shared" si="34"/>
        <v>31</v>
      </c>
    </row>
    <row r="727" spans="1:5" x14ac:dyDescent="0.25">
      <c r="A727" s="9" t="str">
        <f t="shared" si="35"/>
        <v>01 MASTER REQUEST - TIME POLL</v>
      </c>
      <c r="B727" t="s">
        <v>34</v>
      </c>
      <c r="C727" s="7" t="str">
        <f t="shared" si="33"/>
        <v>10</v>
      </c>
      <c r="D727" s="8" t="s">
        <v>109</v>
      </c>
      <c r="E727" s="7" t="str">
        <f t="shared" si="34"/>
        <v>31</v>
      </c>
    </row>
    <row r="728" spans="1:5" x14ac:dyDescent="0.25">
      <c r="A728" s="9" t="str">
        <f t="shared" si="35"/>
        <v>00 STATUS - CHANGING CD</v>
      </c>
      <c r="B728" t="s">
        <v>199</v>
      </c>
      <c r="C728" s="7" t="str">
        <f t="shared" si="33"/>
        <v>31</v>
      </c>
      <c r="D728" s="8" t="s">
        <v>109</v>
      </c>
      <c r="E728" s="7" t="str">
        <f t="shared" si="34"/>
        <v>10</v>
      </c>
    </row>
    <row r="729" spans="1:5" x14ac:dyDescent="0.25">
      <c r="A729" s="9" t="str">
        <f t="shared" si="35"/>
        <v>84 REQUEST MORE TEXT FIELDS - SEND DISC INFO</v>
      </c>
      <c r="B729" t="s">
        <v>200</v>
      </c>
      <c r="C729" s="7" t="str">
        <f t="shared" si="33"/>
        <v>10</v>
      </c>
      <c r="D729" s="8" t="s">
        <v>109</v>
      </c>
      <c r="E729" s="7" t="str">
        <f t="shared" si="34"/>
        <v>31</v>
      </c>
    </row>
    <row r="730" spans="1:5" x14ac:dyDescent="0.25">
      <c r="A730" s="9" t="str">
        <f t="shared" si="35"/>
        <v>01 MASTER REQUEST - SLAVE POLL</v>
      </c>
      <c r="B730" t="s">
        <v>18</v>
      </c>
      <c r="C730" s="7" t="str">
        <f t="shared" si="33"/>
        <v>10</v>
      </c>
      <c r="D730" s="8" t="s">
        <v>109</v>
      </c>
      <c r="E730" s="7" t="str">
        <f t="shared" si="34"/>
        <v>31</v>
      </c>
    </row>
    <row r="731" spans="1:5" x14ac:dyDescent="0.25">
      <c r="A731" s="9" t="str">
        <f t="shared" si="35"/>
        <v>95 MAGAZINE INFO - CD1 YES, CD2 YES, CD3 YES, CD4 NO, CD5 NO, CD6 NO</v>
      </c>
      <c r="B731" t="s">
        <v>216</v>
      </c>
      <c r="C731" s="7" t="str">
        <f t="shared" si="33"/>
        <v>31</v>
      </c>
      <c r="D731" s="8" t="s">
        <v>109</v>
      </c>
      <c r="E731" s="7" t="str">
        <f t="shared" si="34"/>
        <v>10</v>
      </c>
    </row>
    <row r="732" spans="1:5" x14ac:dyDescent="0.25">
      <c r="A732" s="9" t="str">
        <f t="shared" si="35"/>
        <v>01 MASTER REQUEST - SLAVE POLL</v>
      </c>
      <c r="B732" t="s">
        <v>18</v>
      </c>
      <c r="C732" s="7" t="str">
        <f t="shared" si="33"/>
        <v>10</v>
      </c>
      <c r="D732" s="8" t="s">
        <v>109</v>
      </c>
      <c r="E732" s="7" t="str">
        <f t="shared" si="34"/>
        <v>31</v>
      </c>
    </row>
    <row r="733" spans="1:5" x14ac:dyDescent="0.25">
      <c r="A733" s="9" t="str">
        <f t="shared" si="35"/>
        <v>97 DISC INFO - TRACKS: 99, MINS: 00, SECS: 00, DISC: 5</v>
      </c>
      <c r="B733" t="s">
        <v>239</v>
      </c>
      <c r="C733" s="7" t="str">
        <f t="shared" si="33"/>
        <v>31</v>
      </c>
      <c r="D733" s="8" t="s">
        <v>109</v>
      </c>
      <c r="E733" s="7" t="str">
        <f t="shared" si="34"/>
        <v>10</v>
      </c>
    </row>
    <row r="734" spans="1:5" x14ac:dyDescent="0.25">
      <c r="A734" s="9" t="str">
        <f t="shared" si="35"/>
        <v>84 REQUEST MORE TEXT FIELDS - SEND MAGAZINE INFO</v>
      </c>
      <c r="B734" t="s">
        <v>198</v>
      </c>
      <c r="C734" s="7" t="str">
        <f t="shared" si="33"/>
        <v>10</v>
      </c>
      <c r="D734" s="8" t="s">
        <v>109</v>
      </c>
      <c r="E734" s="7" t="str">
        <f t="shared" si="34"/>
        <v>31</v>
      </c>
    </row>
    <row r="735" spans="1:5" x14ac:dyDescent="0.25">
      <c r="A735" s="9" t="str">
        <f t="shared" si="35"/>
        <v>01 MASTER REQUEST - TIME POLL</v>
      </c>
      <c r="B735" t="s">
        <v>34</v>
      </c>
      <c r="C735" s="7" t="str">
        <f t="shared" si="33"/>
        <v>10</v>
      </c>
      <c r="D735" s="8" t="s">
        <v>109</v>
      </c>
      <c r="E735" s="7" t="str">
        <f t="shared" si="34"/>
        <v>31</v>
      </c>
    </row>
    <row r="736" spans="1:5" x14ac:dyDescent="0.25">
      <c r="A736" s="9" t="str">
        <f t="shared" si="35"/>
        <v>00 STATUS - CHANGING CD</v>
      </c>
      <c r="B736" t="s">
        <v>199</v>
      </c>
      <c r="C736" s="7" t="str">
        <f t="shared" si="33"/>
        <v>31</v>
      </c>
      <c r="D736" s="8" t="s">
        <v>109</v>
      </c>
      <c r="E736" s="7" t="str">
        <f t="shared" si="34"/>
        <v>10</v>
      </c>
    </row>
    <row r="737" spans="1:5" x14ac:dyDescent="0.25">
      <c r="A737" s="9" t="str">
        <f t="shared" si="35"/>
        <v>84 REQUEST MORE TEXT FIELDS - SEND DISC INFO</v>
      </c>
      <c r="B737" t="s">
        <v>200</v>
      </c>
      <c r="C737" s="7" t="str">
        <f t="shared" si="33"/>
        <v>10</v>
      </c>
      <c r="D737" s="8" t="s">
        <v>109</v>
      </c>
      <c r="E737" s="7" t="str">
        <f t="shared" si="34"/>
        <v>31</v>
      </c>
    </row>
    <row r="738" spans="1:5" x14ac:dyDescent="0.25">
      <c r="A738" s="9" t="str">
        <f t="shared" si="35"/>
        <v>01 MASTER REQUEST - SLAVE POLL</v>
      </c>
      <c r="B738" t="s">
        <v>18</v>
      </c>
      <c r="C738" s="7" t="str">
        <f t="shared" si="33"/>
        <v>10</v>
      </c>
      <c r="D738" s="8" t="s">
        <v>109</v>
      </c>
      <c r="E738" s="7" t="str">
        <f t="shared" si="34"/>
        <v>31</v>
      </c>
    </row>
    <row r="739" spans="1:5" x14ac:dyDescent="0.25">
      <c r="A739" s="9" t="str">
        <f t="shared" si="35"/>
        <v>01 MASTER REQUEST - SLAVE POLL</v>
      </c>
      <c r="B739" t="s">
        <v>18</v>
      </c>
      <c r="C739" s="7" t="str">
        <f t="shared" si="33"/>
        <v>10</v>
      </c>
      <c r="D739" s="8" t="s">
        <v>109</v>
      </c>
      <c r="E739" s="7" t="str">
        <f t="shared" si="34"/>
        <v>31</v>
      </c>
    </row>
    <row r="740" spans="1:5" x14ac:dyDescent="0.25">
      <c r="A740" s="9" t="str">
        <f t="shared" si="35"/>
        <v>97 DISC INFO - TRACKS: 99, MINS: 00, SECS: 00, DISC: 5</v>
      </c>
      <c r="B740" t="s">
        <v>239</v>
      </c>
      <c r="C740" s="7" t="str">
        <f t="shared" si="33"/>
        <v>31</v>
      </c>
      <c r="D740" s="8" t="s">
        <v>109</v>
      </c>
      <c r="E740" s="7" t="str">
        <f t="shared" si="34"/>
        <v>10</v>
      </c>
    </row>
    <row r="741" spans="1:5" x14ac:dyDescent="0.25">
      <c r="A741" s="9" t="str">
        <f t="shared" si="35"/>
        <v>01 MASTER REQUEST - SLAVE POLL</v>
      </c>
      <c r="B741" t="s">
        <v>18</v>
      </c>
      <c r="C741" s="7" t="str">
        <f t="shared" si="33"/>
        <v>10</v>
      </c>
      <c r="D741" s="8" t="s">
        <v>109</v>
      </c>
      <c r="E741" s="7" t="str">
        <f t="shared" si="34"/>
        <v>31</v>
      </c>
    </row>
    <row r="742" spans="1:5" x14ac:dyDescent="0.25">
      <c r="A742" s="9" t="str">
        <f t="shared" si="35"/>
        <v>01 MASTER REQUEST - SLAVE POLL</v>
      </c>
      <c r="B742" t="s">
        <v>18</v>
      </c>
      <c r="C742" s="7" t="str">
        <f t="shared" si="33"/>
        <v>10</v>
      </c>
      <c r="D742" s="8" t="s">
        <v>109</v>
      </c>
      <c r="E742" s="7" t="str">
        <f t="shared" si="34"/>
        <v>31</v>
      </c>
    </row>
    <row r="743" spans="1:5" x14ac:dyDescent="0.25">
      <c r="A743" s="9" t="str">
        <f t="shared" si="35"/>
        <v>00 STATUS - CHANGING CD</v>
      </c>
      <c r="B743" t="s">
        <v>199</v>
      </c>
      <c r="C743" s="7" t="str">
        <f t="shared" si="33"/>
        <v>31</v>
      </c>
      <c r="D743" s="8" t="s">
        <v>109</v>
      </c>
      <c r="E743" s="7" t="str">
        <f t="shared" si="34"/>
        <v>10</v>
      </c>
    </row>
    <row r="744" spans="1:5" x14ac:dyDescent="0.25">
      <c r="A744" s="9" t="str">
        <f t="shared" si="35"/>
        <v>84 REQUEST MORE TEXT FIELDS - SEND MAGAZINE INFO</v>
      </c>
      <c r="B744" t="s">
        <v>198</v>
      </c>
      <c r="C744" s="7" t="str">
        <f t="shared" si="33"/>
        <v>10</v>
      </c>
      <c r="D744" s="8" t="s">
        <v>109</v>
      </c>
      <c r="E744" s="7" t="str">
        <f t="shared" si="34"/>
        <v>31</v>
      </c>
    </row>
    <row r="745" spans="1:5" x14ac:dyDescent="0.25">
      <c r="A745" s="9" t="str">
        <f t="shared" si="35"/>
        <v>01 MASTER REQUEST - TIME POLL</v>
      </c>
      <c r="B745" t="s">
        <v>34</v>
      </c>
      <c r="C745" s="7" t="str">
        <f t="shared" si="33"/>
        <v>10</v>
      </c>
      <c r="D745" s="8" t="s">
        <v>109</v>
      </c>
      <c r="E745" s="7" t="str">
        <f t="shared" si="34"/>
        <v>31</v>
      </c>
    </row>
    <row r="746" spans="1:5" x14ac:dyDescent="0.25">
      <c r="A746" s="9" t="str">
        <f t="shared" si="35"/>
        <v>00 STATUS - CHANGING CD</v>
      </c>
      <c r="B746" t="s">
        <v>199</v>
      </c>
      <c r="C746" s="7" t="str">
        <f t="shared" si="33"/>
        <v>31</v>
      </c>
      <c r="D746" s="8" t="s">
        <v>109</v>
      </c>
      <c r="E746" s="7" t="str">
        <f t="shared" si="34"/>
        <v>10</v>
      </c>
    </row>
    <row r="747" spans="1:5" x14ac:dyDescent="0.25">
      <c r="A747" s="9" t="str">
        <f t="shared" si="35"/>
        <v>84 REQUEST MORE TEXT FIELDS - SEND DISC INFO</v>
      </c>
      <c r="B747" t="s">
        <v>200</v>
      </c>
      <c r="C747" s="7" t="str">
        <f t="shared" si="33"/>
        <v>10</v>
      </c>
      <c r="D747" s="8" t="s">
        <v>109</v>
      </c>
      <c r="E747" s="7" t="str">
        <f t="shared" si="34"/>
        <v>31</v>
      </c>
    </row>
    <row r="748" spans="1:5" x14ac:dyDescent="0.25">
      <c r="A748" s="9" t="str">
        <f t="shared" si="35"/>
        <v>95 MAGAZINE INFO - CD1 YES, CD2 YES, CD3 YES, CD4 NO, CD5 NO, CD6 NO</v>
      </c>
      <c r="B748" t="s">
        <v>216</v>
      </c>
      <c r="C748" s="7" t="str">
        <f t="shared" si="33"/>
        <v>31</v>
      </c>
      <c r="D748" s="8" t="s">
        <v>109</v>
      </c>
      <c r="E748" s="7" t="str">
        <f t="shared" si="34"/>
        <v>10</v>
      </c>
    </row>
    <row r="749" spans="1:5" x14ac:dyDescent="0.25">
      <c r="A749" s="9" t="str">
        <f t="shared" si="35"/>
        <v>97 DISC INFO - TRACKS: 99, MINS: 00, SECS: 00, DISC: 5</v>
      </c>
      <c r="B749" t="s">
        <v>239</v>
      </c>
      <c r="C749" s="7" t="str">
        <f t="shared" si="33"/>
        <v>31</v>
      </c>
      <c r="D749" s="8" t="s">
        <v>109</v>
      </c>
      <c r="E749" s="7" t="str">
        <f t="shared" si="34"/>
        <v>10</v>
      </c>
    </row>
    <row r="750" spans="1:5" x14ac:dyDescent="0.25">
      <c r="A750" s="9" t="str">
        <f t="shared" si="35"/>
        <v>84 REQUEST MORE TEXT FIELDS - SEND MAGAZINE INFO</v>
      </c>
      <c r="B750" t="s">
        <v>198</v>
      </c>
      <c r="C750" s="7" t="str">
        <f t="shared" si="33"/>
        <v>10</v>
      </c>
      <c r="D750" s="8" t="s">
        <v>109</v>
      </c>
      <c r="E750" s="7" t="str">
        <f t="shared" si="34"/>
        <v>31</v>
      </c>
    </row>
    <row r="751" spans="1:5" x14ac:dyDescent="0.25">
      <c r="A751" s="9" t="str">
        <f t="shared" si="35"/>
        <v>01 MASTER REQUEST - TIME POLL</v>
      </c>
      <c r="B751" t="s">
        <v>34</v>
      </c>
      <c r="C751" s="7" t="str">
        <f t="shared" si="33"/>
        <v>10</v>
      </c>
      <c r="D751" s="8" t="s">
        <v>109</v>
      </c>
      <c r="E751" s="7" t="str">
        <f t="shared" si="34"/>
        <v>31</v>
      </c>
    </row>
    <row r="752" spans="1:5" x14ac:dyDescent="0.25">
      <c r="A752" s="9" t="str">
        <f t="shared" si="35"/>
        <v>00 STATUS - CHANGING CD</v>
      </c>
      <c r="B752" t="s">
        <v>199</v>
      </c>
      <c r="C752" s="7" t="str">
        <f t="shared" ref="C752:C815" si="36">MID(B752,4,2)</f>
        <v>31</v>
      </c>
      <c r="D752" s="8" t="s">
        <v>109</v>
      </c>
      <c r="E752" s="7" t="str">
        <f t="shared" ref="E752:E815" si="37">MID(B752,1,2)</f>
        <v>10</v>
      </c>
    </row>
    <row r="753" spans="1:5" x14ac:dyDescent="0.25">
      <c r="A753" s="9" t="str">
        <f t="shared" si="35"/>
        <v>01 MASTER REQUEST - SLAVE POLL</v>
      </c>
      <c r="B753" t="s">
        <v>18</v>
      </c>
      <c r="C753" s="7" t="str">
        <f t="shared" si="36"/>
        <v>10</v>
      </c>
      <c r="D753" s="8" t="s">
        <v>109</v>
      </c>
      <c r="E753" s="7" t="str">
        <f t="shared" si="37"/>
        <v>31</v>
      </c>
    </row>
    <row r="754" spans="1:5" x14ac:dyDescent="0.25">
      <c r="A754" s="9" t="str">
        <f t="shared" si="35"/>
        <v>95 MAGAZINE INFO - CD1 YES, CD2 YES, CD3 YES, CD4 NO, CD5 NO, CD6 NO</v>
      </c>
      <c r="B754" t="s">
        <v>216</v>
      </c>
      <c r="C754" s="7" t="str">
        <f t="shared" si="36"/>
        <v>31</v>
      </c>
      <c r="D754" s="8" t="s">
        <v>109</v>
      </c>
      <c r="E754" s="7" t="str">
        <f t="shared" si="37"/>
        <v>10</v>
      </c>
    </row>
    <row r="755" spans="1:5" x14ac:dyDescent="0.25">
      <c r="A755" s="9" t="str">
        <f t="shared" si="35"/>
        <v>01 MASTER REQUEST - SLAVE POLL</v>
      </c>
      <c r="B755" t="s">
        <v>18</v>
      </c>
      <c r="C755" s="7" t="str">
        <f t="shared" si="36"/>
        <v>10</v>
      </c>
      <c r="D755" s="8" t="s">
        <v>109</v>
      </c>
      <c r="E755" s="7" t="str">
        <f t="shared" si="37"/>
        <v>31</v>
      </c>
    </row>
    <row r="756" spans="1:5" x14ac:dyDescent="0.25">
      <c r="A756" s="9" t="str">
        <f t="shared" si="35"/>
        <v>97 DISC INFO - TRACKS: 99, MINS: 00, SECS: 00, DISC: 5</v>
      </c>
      <c r="B756" t="s">
        <v>239</v>
      </c>
      <c r="C756" s="7" t="str">
        <f t="shared" si="36"/>
        <v>31</v>
      </c>
      <c r="D756" s="8" t="s">
        <v>109</v>
      </c>
      <c r="E756" s="7" t="str">
        <f t="shared" si="37"/>
        <v>10</v>
      </c>
    </row>
    <row r="757" spans="1:5" x14ac:dyDescent="0.25">
      <c r="A757" s="9" t="str">
        <f t="shared" si="35"/>
        <v>01 MASTER REQUEST - SLAVE POLL</v>
      </c>
      <c r="B757" t="s">
        <v>18</v>
      </c>
      <c r="C757" s="7" t="str">
        <f t="shared" si="36"/>
        <v>10</v>
      </c>
      <c r="D757" s="8" t="s">
        <v>109</v>
      </c>
      <c r="E757" s="7" t="str">
        <f t="shared" si="37"/>
        <v>31</v>
      </c>
    </row>
    <row r="758" spans="1:5" x14ac:dyDescent="0.25">
      <c r="A758" s="9" t="str">
        <f t="shared" si="35"/>
        <v>01 MASTER REQUEST - SLAVE POLL</v>
      </c>
      <c r="B758" t="s">
        <v>18</v>
      </c>
      <c r="C758" s="7" t="str">
        <f t="shared" si="36"/>
        <v>10</v>
      </c>
      <c r="D758" s="8" t="s">
        <v>109</v>
      </c>
      <c r="E758" s="7" t="str">
        <f t="shared" si="37"/>
        <v>31</v>
      </c>
    </row>
    <row r="759" spans="1:5" x14ac:dyDescent="0.25">
      <c r="A759" s="9" t="str">
        <f t="shared" si="35"/>
        <v>98 INTRO PLAY FINISH</v>
      </c>
      <c r="B759" t="s">
        <v>240</v>
      </c>
      <c r="C759" s="7" t="str">
        <f t="shared" si="36"/>
        <v>31</v>
      </c>
      <c r="D759" s="8" t="s">
        <v>109</v>
      </c>
      <c r="E759" s="7" t="str">
        <f t="shared" si="37"/>
        <v>10</v>
      </c>
    </row>
    <row r="760" spans="1:5" x14ac:dyDescent="0.25">
      <c r="A760" s="9" t="str">
        <f t="shared" si="35"/>
        <v>01 MASTER REQUEST - SLAVE POLL</v>
      </c>
      <c r="B760" t="s">
        <v>18</v>
      </c>
      <c r="C760" s="7" t="str">
        <f t="shared" si="36"/>
        <v>10</v>
      </c>
      <c r="D760" s="8" t="s">
        <v>109</v>
      </c>
      <c r="E760" s="7" t="str">
        <f t="shared" si="37"/>
        <v>31</v>
      </c>
    </row>
    <row r="761" spans="1:5" x14ac:dyDescent="0.25">
      <c r="A761" s="9" t="str">
        <f t="shared" si="35"/>
        <v>9C AFTER DISC CHANGE TO MASTER - Disc number: 1</v>
      </c>
      <c r="B761" t="s">
        <v>222</v>
      </c>
      <c r="C761" s="7" t="str">
        <f t="shared" si="36"/>
        <v>31</v>
      </c>
      <c r="D761" s="8" t="s">
        <v>109</v>
      </c>
      <c r="E761" s="7" t="str">
        <f t="shared" si="37"/>
        <v>90</v>
      </c>
    </row>
    <row r="762" spans="1:5" x14ac:dyDescent="0.25">
      <c r="A762" s="9" t="str">
        <f t="shared" si="35"/>
        <v>01 MASTER REQUEST - SLAVE POLL</v>
      </c>
      <c r="B762" t="s">
        <v>18</v>
      </c>
      <c r="C762" s="7" t="str">
        <f t="shared" si="36"/>
        <v>10</v>
      </c>
      <c r="D762" s="8" t="s">
        <v>109</v>
      </c>
      <c r="E762" s="7" t="str">
        <f t="shared" si="37"/>
        <v>31</v>
      </c>
    </row>
    <row r="763" spans="1:5" x14ac:dyDescent="0.25">
      <c r="A763" s="9" t="str">
        <f t="shared" si="35"/>
        <v>01 MASTER REQUEST - SLAVE POLL</v>
      </c>
      <c r="B763" t="s">
        <v>18</v>
      </c>
      <c r="C763" s="7" t="str">
        <f t="shared" si="36"/>
        <v>10</v>
      </c>
      <c r="D763" s="8" t="s">
        <v>109</v>
      </c>
      <c r="E763" s="7" t="str">
        <f t="shared" si="37"/>
        <v>31</v>
      </c>
    </row>
    <row r="764" spans="1:5" x14ac:dyDescent="0.25">
      <c r="A764" s="9" t="str">
        <f t="shared" si="35"/>
        <v>87 WAKE FROM IDLE?</v>
      </c>
      <c r="B764" t="s">
        <v>221</v>
      </c>
      <c r="C764" s="7" t="str">
        <f t="shared" si="36"/>
        <v>10</v>
      </c>
      <c r="D764" s="8" t="s">
        <v>109</v>
      </c>
      <c r="E764" s="7" t="str">
        <f t="shared" si="37"/>
        <v>18</v>
      </c>
    </row>
    <row r="765" spans="1:5" x14ac:dyDescent="0.25">
      <c r="A765" s="9" t="str">
        <f t="shared" si="35"/>
        <v>F0 SWITCH SOURCE FROM 51 TO 31</v>
      </c>
      <c r="B765" t="s">
        <v>195</v>
      </c>
      <c r="C765" s="7" t="str">
        <f t="shared" si="36"/>
        <v>10</v>
      </c>
      <c r="D765" s="8" t="s">
        <v>109</v>
      </c>
      <c r="E765" s="7" t="str">
        <f t="shared" si="37"/>
        <v>18</v>
      </c>
    </row>
    <row r="766" spans="1:5" x14ac:dyDescent="0.25">
      <c r="A766" s="9" t="str">
        <f t="shared" si="35"/>
        <v>21 SWITCH TO CD?</v>
      </c>
      <c r="B766" t="s">
        <v>196</v>
      </c>
      <c r="C766" s="7" t="str">
        <f t="shared" si="36"/>
        <v>11</v>
      </c>
      <c r="D766" s="8" t="s">
        <v>109</v>
      </c>
      <c r="E766" s="7" t="str">
        <f t="shared" si="37"/>
        <v>31</v>
      </c>
    </row>
    <row r="767" spans="1:5" x14ac:dyDescent="0.25">
      <c r="A767" s="9" t="str">
        <f t="shared" si="35"/>
        <v>20 PLAY (FROM MASTER)</v>
      </c>
      <c r="B767" t="s">
        <v>197</v>
      </c>
      <c r="C767" s="7" t="str">
        <f t="shared" si="36"/>
        <v>10</v>
      </c>
      <c r="D767" s="8" t="s">
        <v>109</v>
      </c>
      <c r="E767" s="7" t="str">
        <f t="shared" si="37"/>
        <v>31</v>
      </c>
    </row>
    <row r="768" spans="1:5" x14ac:dyDescent="0.25">
      <c r="A768" s="9" t="str">
        <f t="shared" si="35"/>
        <v>08 KEY RELEASED</v>
      </c>
      <c r="B768" t="s">
        <v>205</v>
      </c>
      <c r="C768" s="7" t="str">
        <f t="shared" si="36"/>
        <v>11</v>
      </c>
      <c r="D768" s="8" t="s">
        <v>109</v>
      </c>
      <c r="E768" s="7" t="str">
        <f t="shared" si="37"/>
        <v>18</v>
      </c>
    </row>
    <row r="769" spans="1:5" x14ac:dyDescent="0.25">
      <c r="A769" s="9" t="str">
        <f t="shared" si="35"/>
        <v>01 MASTER REQUEST - SLAVE POLL</v>
      </c>
      <c r="B769" t="s">
        <v>18</v>
      </c>
      <c r="C769" s="7" t="str">
        <f t="shared" si="36"/>
        <v>10</v>
      </c>
      <c r="D769" s="8" t="s">
        <v>109</v>
      </c>
      <c r="E769" s="7" t="str">
        <f t="shared" si="37"/>
        <v>31</v>
      </c>
    </row>
    <row r="770" spans="1:5" x14ac:dyDescent="0.25">
      <c r="A770" s="9" t="str">
        <f t="shared" si="35"/>
        <v>94 Configuration change - Mute OFF, Loudness OFF, Phone unmuted</v>
      </c>
      <c r="B770" t="s">
        <v>236</v>
      </c>
      <c r="C770" s="7" t="str">
        <f t="shared" si="36"/>
        <v>31</v>
      </c>
      <c r="D770" s="8" t="s">
        <v>109</v>
      </c>
      <c r="E770" s="7" t="str">
        <f t="shared" si="37"/>
        <v>77</v>
      </c>
    </row>
    <row r="771" spans="1:5" x14ac:dyDescent="0.25">
      <c r="A771" s="9" t="str">
        <f t="shared" ref="A771:A834" si="38">ParseUnilink(B771)</f>
        <v>01 MASTER REQUEST - SLAVE POLL</v>
      </c>
      <c r="B771" t="s">
        <v>18</v>
      </c>
      <c r="C771" s="7" t="str">
        <f t="shared" si="36"/>
        <v>10</v>
      </c>
      <c r="D771" s="8" t="s">
        <v>109</v>
      </c>
      <c r="E771" s="7" t="str">
        <f t="shared" si="37"/>
        <v>31</v>
      </c>
    </row>
    <row r="772" spans="1:5" x14ac:dyDescent="0.25">
      <c r="A772" s="9" t="str">
        <f t="shared" si="38"/>
        <v>00 STATUS - CHANGING CD</v>
      </c>
      <c r="B772" t="s">
        <v>199</v>
      </c>
      <c r="C772" s="7" t="str">
        <f t="shared" si="36"/>
        <v>31</v>
      </c>
      <c r="D772" s="8" t="s">
        <v>109</v>
      </c>
      <c r="E772" s="7" t="str">
        <f t="shared" si="37"/>
        <v>10</v>
      </c>
    </row>
    <row r="773" spans="1:5" x14ac:dyDescent="0.25">
      <c r="A773" s="9" t="str">
        <f t="shared" si="38"/>
        <v>84 REQUEST MORE TEXT FIELDS - SEND MAGAZINE INFO</v>
      </c>
      <c r="B773" t="s">
        <v>198</v>
      </c>
      <c r="C773" s="7" t="str">
        <f t="shared" si="36"/>
        <v>10</v>
      </c>
      <c r="D773" s="8" t="s">
        <v>109</v>
      </c>
      <c r="E773" s="7" t="str">
        <f t="shared" si="37"/>
        <v>31</v>
      </c>
    </row>
    <row r="774" spans="1:5" x14ac:dyDescent="0.25">
      <c r="A774" s="9" t="str">
        <f t="shared" si="38"/>
        <v>01 MASTER REQUEST - TIME POLL</v>
      </c>
      <c r="B774" t="s">
        <v>34</v>
      </c>
      <c r="C774" s="7" t="str">
        <f t="shared" si="36"/>
        <v>10</v>
      </c>
      <c r="D774" s="8" t="s">
        <v>109</v>
      </c>
      <c r="E774" s="7" t="str">
        <f t="shared" si="37"/>
        <v>31</v>
      </c>
    </row>
    <row r="775" spans="1:5" x14ac:dyDescent="0.25">
      <c r="A775" s="9" t="str">
        <f t="shared" si="38"/>
        <v>00 STATUS - CHANGING CD</v>
      </c>
      <c r="B775" t="s">
        <v>199</v>
      </c>
      <c r="C775" s="7" t="str">
        <f t="shared" si="36"/>
        <v>31</v>
      </c>
      <c r="D775" s="8" t="s">
        <v>109</v>
      </c>
      <c r="E775" s="7" t="str">
        <f t="shared" si="37"/>
        <v>10</v>
      </c>
    </row>
    <row r="776" spans="1:5" x14ac:dyDescent="0.25">
      <c r="A776" s="9" t="str">
        <f t="shared" si="38"/>
        <v>84 REQUEST MORE TEXT FIELDS - SEND DISC INFO</v>
      </c>
      <c r="B776" t="s">
        <v>200</v>
      </c>
      <c r="C776" s="7" t="str">
        <f t="shared" si="36"/>
        <v>10</v>
      </c>
      <c r="D776" s="8" t="s">
        <v>109</v>
      </c>
      <c r="E776" s="7" t="str">
        <f t="shared" si="37"/>
        <v>31</v>
      </c>
    </row>
    <row r="777" spans="1:5" x14ac:dyDescent="0.25">
      <c r="A777" s="9" t="str">
        <f t="shared" si="38"/>
        <v>01 MASTER REQUEST - SLAVE POLL</v>
      </c>
      <c r="B777" t="s">
        <v>18</v>
      </c>
      <c r="C777" s="7" t="str">
        <f t="shared" si="36"/>
        <v>10</v>
      </c>
      <c r="D777" s="8" t="s">
        <v>109</v>
      </c>
      <c r="E777" s="7" t="str">
        <f t="shared" si="37"/>
        <v>31</v>
      </c>
    </row>
    <row r="778" spans="1:5" x14ac:dyDescent="0.25">
      <c r="A778" s="9" t="str">
        <f t="shared" si="38"/>
        <v>95 MAGAZINE INFO - CD1 YES, CD2 YES, CD3 YES, CD4 NO, CD5 NO, CD6 NO</v>
      </c>
      <c r="B778" t="s">
        <v>216</v>
      </c>
      <c r="C778" s="7" t="str">
        <f t="shared" si="36"/>
        <v>31</v>
      </c>
      <c r="D778" s="8" t="s">
        <v>109</v>
      </c>
      <c r="E778" s="7" t="str">
        <f t="shared" si="37"/>
        <v>10</v>
      </c>
    </row>
    <row r="779" spans="1:5" x14ac:dyDescent="0.25">
      <c r="A779" s="9" t="str">
        <f t="shared" si="38"/>
        <v>01 MASTER REQUEST - SLAVE POLL</v>
      </c>
      <c r="B779" t="s">
        <v>18</v>
      </c>
      <c r="C779" s="7" t="str">
        <f t="shared" si="36"/>
        <v>10</v>
      </c>
      <c r="D779" s="8" t="s">
        <v>109</v>
      </c>
      <c r="E779" s="7" t="str">
        <f t="shared" si="37"/>
        <v>31</v>
      </c>
    </row>
    <row r="780" spans="1:5" x14ac:dyDescent="0.25">
      <c r="A780" s="9" t="str">
        <f t="shared" si="38"/>
        <v>97 DISC INFO - TRACKS: 16, MINS: 36, SECS: 00, DISC: 1</v>
      </c>
      <c r="B780" t="s">
        <v>235</v>
      </c>
      <c r="C780" s="7" t="str">
        <f t="shared" si="36"/>
        <v>31</v>
      </c>
      <c r="D780" s="8" t="s">
        <v>109</v>
      </c>
      <c r="E780" s="7" t="str">
        <f t="shared" si="37"/>
        <v>10</v>
      </c>
    </row>
    <row r="781" spans="1:5" x14ac:dyDescent="0.25">
      <c r="A781" s="9" t="str">
        <f t="shared" si="38"/>
        <v>01 MASTER REQUEST - SLAVE POLL</v>
      </c>
      <c r="B781" t="s">
        <v>18</v>
      </c>
      <c r="C781" s="7" t="str">
        <f t="shared" si="36"/>
        <v>10</v>
      </c>
      <c r="D781" s="8" t="s">
        <v>109</v>
      </c>
      <c r="E781" s="7" t="str">
        <f t="shared" si="37"/>
        <v>31</v>
      </c>
    </row>
    <row r="782" spans="1:5" x14ac:dyDescent="0.25">
      <c r="A782" s="9" t="str">
        <f t="shared" si="38"/>
        <v>01 MASTER REQUEST - SLAVE POLL</v>
      </c>
      <c r="B782" t="s">
        <v>18</v>
      </c>
      <c r="C782" s="7" t="str">
        <f t="shared" si="36"/>
        <v>10</v>
      </c>
      <c r="D782" s="8" t="s">
        <v>109</v>
      </c>
      <c r="E782" s="7" t="str">
        <f t="shared" si="37"/>
        <v>31</v>
      </c>
    </row>
    <row r="783" spans="1:5" x14ac:dyDescent="0.25">
      <c r="A783" s="9" t="str">
        <f t="shared" si="38"/>
        <v>00 STATUS - CHANGING CD</v>
      </c>
      <c r="B783" t="s">
        <v>199</v>
      </c>
      <c r="C783" s="7" t="str">
        <f t="shared" si="36"/>
        <v>31</v>
      </c>
      <c r="D783" s="8" t="s">
        <v>109</v>
      </c>
      <c r="E783" s="7" t="str">
        <f t="shared" si="37"/>
        <v>10</v>
      </c>
    </row>
    <row r="784" spans="1:5" x14ac:dyDescent="0.25">
      <c r="A784" s="9" t="str">
        <f t="shared" si="38"/>
        <v>01 MASTER REQUEST - TIME POLL</v>
      </c>
      <c r="B784" t="s">
        <v>34</v>
      </c>
      <c r="C784" s="7" t="str">
        <f t="shared" si="36"/>
        <v>10</v>
      </c>
      <c r="D784" s="8" t="s">
        <v>109</v>
      </c>
      <c r="E784" s="7" t="str">
        <f t="shared" si="37"/>
        <v>31</v>
      </c>
    </row>
    <row r="785" spans="1:5" x14ac:dyDescent="0.25">
      <c r="A785" s="9" t="str">
        <f t="shared" si="38"/>
        <v>00 STATUS - CHANGING CD</v>
      </c>
      <c r="B785" t="s">
        <v>199</v>
      </c>
      <c r="C785" s="7" t="str">
        <f t="shared" si="36"/>
        <v>31</v>
      </c>
      <c r="D785" s="8" t="s">
        <v>109</v>
      </c>
      <c r="E785" s="7" t="str">
        <f t="shared" si="37"/>
        <v>10</v>
      </c>
    </row>
    <row r="786" spans="1:5" x14ac:dyDescent="0.25">
      <c r="A786" s="9" t="str">
        <f t="shared" si="38"/>
        <v>84 REQUEST MORE TEXT FIELDS - SEND DISC INFO</v>
      </c>
      <c r="B786" t="s">
        <v>200</v>
      </c>
      <c r="C786" s="7" t="str">
        <f t="shared" si="36"/>
        <v>10</v>
      </c>
      <c r="D786" s="8" t="s">
        <v>109</v>
      </c>
      <c r="E786" s="7" t="str">
        <f t="shared" si="37"/>
        <v>31</v>
      </c>
    </row>
    <row r="787" spans="1:5" x14ac:dyDescent="0.25">
      <c r="A787" s="9" t="str">
        <f t="shared" si="38"/>
        <v>01 MASTER REQUEST - SLAVE POLL</v>
      </c>
      <c r="B787" t="s">
        <v>18</v>
      </c>
      <c r="C787" s="7" t="str">
        <f t="shared" si="36"/>
        <v>10</v>
      </c>
      <c r="D787" s="8" t="s">
        <v>109</v>
      </c>
      <c r="E787" s="7" t="str">
        <f t="shared" si="37"/>
        <v>31</v>
      </c>
    </row>
    <row r="788" spans="1:5" x14ac:dyDescent="0.25">
      <c r="A788" s="9" t="str">
        <f t="shared" si="38"/>
        <v>95 MAGAZINE INFO - CD1 YES, CD2 YES, CD3 YES, CD4 NO, CD5 NO, CD6 NO</v>
      </c>
      <c r="B788" t="s">
        <v>216</v>
      </c>
      <c r="C788" s="7" t="str">
        <f t="shared" si="36"/>
        <v>31</v>
      </c>
      <c r="D788" s="8" t="s">
        <v>109</v>
      </c>
      <c r="E788" s="7" t="str">
        <f t="shared" si="37"/>
        <v>10</v>
      </c>
    </row>
    <row r="789" spans="1:5" x14ac:dyDescent="0.25">
      <c r="A789" s="9" t="str">
        <f t="shared" si="38"/>
        <v>01 MASTER REQUEST - SLAVE POLL</v>
      </c>
      <c r="B789" t="s">
        <v>18</v>
      </c>
      <c r="C789" s="7" t="str">
        <f t="shared" si="36"/>
        <v>10</v>
      </c>
      <c r="D789" s="8" t="s">
        <v>109</v>
      </c>
      <c r="E789" s="7" t="str">
        <f t="shared" si="37"/>
        <v>31</v>
      </c>
    </row>
    <row r="790" spans="1:5" x14ac:dyDescent="0.25">
      <c r="A790" s="9" t="str">
        <f t="shared" si="38"/>
        <v>97 DISC INFO - TRACKS: 16, MINS: 36, SECS: 00, DISC: 1</v>
      </c>
      <c r="B790" t="s">
        <v>235</v>
      </c>
      <c r="C790" s="7" t="str">
        <f t="shared" si="36"/>
        <v>31</v>
      </c>
      <c r="D790" s="8" t="s">
        <v>109</v>
      </c>
      <c r="E790" s="7" t="str">
        <f t="shared" si="37"/>
        <v>10</v>
      </c>
    </row>
    <row r="791" spans="1:5" x14ac:dyDescent="0.25">
      <c r="A791" s="9" t="str">
        <f t="shared" si="38"/>
        <v>21 SWITCH TO CD?</v>
      </c>
      <c r="B791" t="s">
        <v>196</v>
      </c>
      <c r="C791" s="7" t="str">
        <f t="shared" si="36"/>
        <v>11</v>
      </c>
      <c r="D791" s="8" t="s">
        <v>109</v>
      </c>
      <c r="E791" s="7" t="str">
        <f t="shared" si="37"/>
        <v>31</v>
      </c>
    </row>
    <row r="792" spans="1:5" x14ac:dyDescent="0.25">
      <c r="A792" s="9" t="str">
        <f t="shared" si="38"/>
        <v>08 KEY RELEASED</v>
      </c>
      <c r="B792" t="s">
        <v>205</v>
      </c>
      <c r="C792" s="7" t="str">
        <f t="shared" si="36"/>
        <v>11</v>
      </c>
      <c r="D792" s="8" t="s">
        <v>109</v>
      </c>
      <c r="E792" s="7" t="str">
        <f t="shared" si="37"/>
        <v>18</v>
      </c>
    </row>
    <row r="793" spans="1:5" x14ac:dyDescent="0.25">
      <c r="A793" s="9" t="str">
        <f t="shared" si="38"/>
        <v>01 MASTER REQUEST - SLAVE POLL</v>
      </c>
      <c r="B793" t="s">
        <v>18</v>
      </c>
      <c r="C793" s="7" t="str">
        <f t="shared" si="36"/>
        <v>10</v>
      </c>
      <c r="D793" s="8" t="s">
        <v>109</v>
      </c>
      <c r="E793" s="7" t="str">
        <f t="shared" si="37"/>
        <v>31</v>
      </c>
    </row>
    <row r="794" spans="1:5" x14ac:dyDescent="0.25">
      <c r="A794" s="9" t="str">
        <f t="shared" si="38"/>
        <v>94 Configuration change - Mute OFF, Loudness OFF, Phone unmuted</v>
      </c>
      <c r="B794" t="s">
        <v>236</v>
      </c>
      <c r="C794" s="7" t="str">
        <f t="shared" si="36"/>
        <v>31</v>
      </c>
      <c r="D794" s="8" t="s">
        <v>109</v>
      </c>
      <c r="E794" s="7" t="str">
        <f t="shared" si="37"/>
        <v>77</v>
      </c>
    </row>
    <row r="795" spans="1:5" x14ac:dyDescent="0.25">
      <c r="A795" s="9" t="str">
        <f t="shared" si="38"/>
        <v>84 REQUEST MORE TEXT FIELDS - SEND MAGAZINE INFO</v>
      </c>
      <c r="B795" t="s">
        <v>198</v>
      </c>
      <c r="C795" s="7" t="str">
        <f t="shared" si="36"/>
        <v>10</v>
      </c>
      <c r="D795" s="8" t="s">
        <v>109</v>
      </c>
      <c r="E795" s="7" t="str">
        <f t="shared" si="37"/>
        <v>31</v>
      </c>
    </row>
    <row r="796" spans="1:5" x14ac:dyDescent="0.25">
      <c r="A796" s="9" t="str">
        <f t="shared" si="38"/>
        <v>01 MASTER REQUEST - TIME POLL</v>
      </c>
      <c r="B796" t="s">
        <v>34</v>
      </c>
      <c r="C796" s="7" t="str">
        <f t="shared" si="36"/>
        <v>10</v>
      </c>
      <c r="D796" s="8" t="s">
        <v>109</v>
      </c>
      <c r="E796" s="7" t="str">
        <f t="shared" si="37"/>
        <v>31</v>
      </c>
    </row>
    <row r="797" spans="1:5" x14ac:dyDescent="0.25">
      <c r="A797" s="9" t="str">
        <f t="shared" si="38"/>
        <v>00 STATUS - CHANGING CD</v>
      </c>
      <c r="B797" t="s">
        <v>199</v>
      </c>
      <c r="C797" s="7" t="str">
        <f t="shared" si="36"/>
        <v>31</v>
      </c>
      <c r="D797" s="8" t="s">
        <v>109</v>
      </c>
      <c r="E797" s="7" t="str">
        <f t="shared" si="37"/>
        <v>10</v>
      </c>
    </row>
    <row r="798" spans="1:5" x14ac:dyDescent="0.25">
      <c r="A798" s="9" t="str">
        <f t="shared" si="38"/>
        <v>01 MASTER REQUEST - SLAVE POLL</v>
      </c>
      <c r="B798" t="s">
        <v>18</v>
      </c>
      <c r="C798" s="7" t="str">
        <f t="shared" si="36"/>
        <v>10</v>
      </c>
      <c r="D798" s="8" t="s">
        <v>109</v>
      </c>
      <c r="E798" s="7" t="str">
        <f t="shared" si="37"/>
        <v>31</v>
      </c>
    </row>
    <row r="799" spans="1:5" x14ac:dyDescent="0.25">
      <c r="A799" s="9" t="str">
        <f t="shared" si="38"/>
        <v>95 MAGAZINE INFO - CD1 YES, CD2 YES, CD3 YES, CD4 NO, CD5 NO, CD6 NO</v>
      </c>
      <c r="B799" t="s">
        <v>216</v>
      </c>
      <c r="C799" s="7" t="str">
        <f t="shared" si="36"/>
        <v>31</v>
      </c>
      <c r="D799" s="8" t="s">
        <v>109</v>
      </c>
      <c r="E799" s="7" t="str">
        <f t="shared" si="37"/>
        <v>10</v>
      </c>
    </row>
    <row r="800" spans="1:5" x14ac:dyDescent="0.25">
      <c r="A800" s="9" t="str">
        <f t="shared" si="38"/>
        <v>01 MASTER REQUEST - SLAVE POLL</v>
      </c>
      <c r="B800" t="s">
        <v>18</v>
      </c>
      <c r="C800" s="7" t="str">
        <f t="shared" si="36"/>
        <v>10</v>
      </c>
      <c r="D800" s="8" t="s">
        <v>109</v>
      </c>
      <c r="E800" s="7" t="str">
        <f t="shared" si="37"/>
        <v>31</v>
      </c>
    </row>
    <row r="801" spans="1:5" x14ac:dyDescent="0.25">
      <c r="A801" s="9" t="str">
        <f t="shared" si="38"/>
        <v>97 DISC INFO - TRACKS: 16, MINS: 36, SECS: 00, DISC: 1</v>
      </c>
      <c r="B801" t="s">
        <v>235</v>
      </c>
      <c r="C801" s="7" t="str">
        <f t="shared" si="36"/>
        <v>31</v>
      </c>
      <c r="D801" s="8" t="s">
        <v>109</v>
      </c>
      <c r="E801" s="7" t="str">
        <f t="shared" si="37"/>
        <v>10</v>
      </c>
    </row>
    <row r="802" spans="1:5" x14ac:dyDescent="0.25">
      <c r="A802" s="9" t="str">
        <f t="shared" si="38"/>
        <v>84 REQUEST MORE TEXT FIELDS - SEND MAGAZINE INFO</v>
      </c>
      <c r="B802" t="s">
        <v>198</v>
      </c>
      <c r="C802" s="7" t="str">
        <f t="shared" si="36"/>
        <v>10</v>
      </c>
      <c r="D802" s="8" t="s">
        <v>109</v>
      </c>
      <c r="E802" s="7" t="str">
        <f t="shared" si="37"/>
        <v>31</v>
      </c>
    </row>
    <row r="803" spans="1:5" x14ac:dyDescent="0.25">
      <c r="A803" s="9" t="str">
        <f t="shared" si="38"/>
        <v>01 MASTER REQUEST - TIME POLL</v>
      </c>
      <c r="B803" t="s">
        <v>34</v>
      </c>
      <c r="C803" s="7" t="str">
        <f t="shared" si="36"/>
        <v>10</v>
      </c>
      <c r="D803" s="8" t="s">
        <v>109</v>
      </c>
      <c r="E803" s="7" t="str">
        <f t="shared" si="37"/>
        <v>31</v>
      </c>
    </row>
    <row r="804" spans="1:5" x14ac:dyDescent="0.25">
      <c r="A804" s="9" t="str">
        <f t="shared" si="38"/>
        <v>00 STATUS - CHANGING CD</v>
      </c>
      <c r="B804" t="s">
        <v>199</v>
      </c>
      <c r="C804" s="7" t="str">
        <f t="shared" si="36"/>
        <v>31</v>
      </c>
      <c r="D804" s="8" t="s">
        <v>109</v>
      </c>
      <c r="E804" s="7" t="str">
        <f t="shared" si="37"/>
        <v>10</v>
      </c>
    </row>
    <row r="805" spans="1:5" x14ac:dyDescent="0.25">
      <c r="A805" s="9" t="str">
        <f t="shared" si="38"/>
        <v>84 REQUEST MORE TEXT FIELDS - SEND DISC INFO</v>
      </c>
      <c r="B805" t="s">
        <v>200</v>
      </c>
      <c r="C805" s="7" t="str">
        <f t="shared" si="36"/>
        <v>10</v>
      </c>
      <c r="D805" s="8" t="s">
        <v>109</v>
      </c>
      <c r="E805" s="7" t="str">
        <f t="shared" si="37"/>
        <v>31</v>
      </c>
    </row>
    <row r="806" spans="1:5" x14ac:dyDescent="0.25">
      <c r="A806" s="9" t="str">
        <f t="shared" si="38"/>
        <v>01 MASTER REQUEST - SLAVE POLL</v>
      </c>
      <c r="B806" t="s">
        <v>18</v>
      </c>
      <c r="C806" s="7" t="str">
        <f t="shared" si="36"/>
        <v>10</v>
      </c>
      <c r="D806" s="8" t="s">
        <v>109</v>
      </c>
      <c r="E806" s="7" t="str">
        <f t="shared" si="37"/>
        <v>31</v>
      </c>
    </row>
    <row r="807" spans="1:5" x14ac:dyDescent="0.25">
      <c r="A807" s="9" t="str">
        <f t="shared" si="38"/>
        <v>95 MAGAZINE INFO - CD1 YES, CD2 YES, CD3 YES, CD4 NO, CD5 NO, CD6 NO</v>
      </c>
      <c r="B807" t="s">
        <v>216</v>
      </c>
      <c r="C807" s="7" t="str">
        <f t="shared" si="36"/>
        <v>31</v>
      </c>
      <c r="D807" s="8" t="s">
        <v>109</v>
      </c>
      <c r="E807" s="7" t="str">
        <f t="shared" si="37"/>
        <v>10</v>
      </c>
    </row>
    <row r="808" spans="1:5" x14ac:dyDescent="0.25">
      <c r="A808" s="9" t="str">
        <f t="shared" si="38"/>
        <v>01 MASTER REQUEST - SLAVE POLL</v>
      </c>
      <c r="B808" t="s">
        <v>18</v>
      </c>
      <c r="C808" s="7" t="str">
        <f t="shared" si="36"/>
        <v>10</v>
      </c>
      <c r="D808" s="8" t="s">
        <v>109</v>
      </c>
      <c r="E808" s="7" t="str">
        <f t="shared" si="37"/>
        <v>31</v>
      </c>
    </row>
    <row r="809" spans="1:5" x14ac:dyDescent="0.25">
      <c r="A809" s="9" t="str">
        <f t="shared" si="38"/>
        <v>97 DISC INFO - TRACKS: 16, MINS: 36, SECS: 00, DISC: 1</v>
      </c>
      <c r="B809" t="s">
        <v>235</v>
      </c>
      <c r="C809" s="7" t="str">
        <f t="shared" si="36"/>
        <v>31</v>
      </c>
      <c r="D809" s="8" t="s">
        <v>109</v>
      </c>
      <c r="E809" s="7" t="str">
        <f t="shared" si="37"/>
        <v>10</v>
      </c>
    </row>
    <row r="810" spans="1:5" x14ac:dyDescent="0.25">
      <c r="A810" s="9" t="str">
        <f t="shared" si="38"/>
        <v>84 REQUEST MORE TEXT FIELDS - SEND MAGAZINE INFO</v>
      </c>
      <c r="B810" t="s">
        <v>198</v>
      </c>
      <c r="C810" s="7" t="str">
        <f t="shared" si="36"/>
        <v>10</v>
      </c>
      <c r="D810" s="8" t="s">
        <v>109</v>
      </c>
      <c r="E810" s="7" t="str">
        <f t="shared" si="37"/>
        <v>31</v>
      </c>
    </row>
    <row r="811" spans="1:5" x14ac:dyDescent="0.25">
      <c r="A811" s="9" t="str">
        <f t="shared" si="38"/>
        <v>01 MASTER REQUEST - TIME POLL</v>
      </c>
      <c r="B811" t="s">
        <v>34</v>
      </c>
      <c r="C811" s="7" t="str">
        <f t="shared" si="36"/>
        <v>10</v>
      </c>
      <c r="D811" s="8" t="s">
        <v>109</v>
      </c>
      <c r="E811" s="7" t="str">
        <f t="shared" si="37"/>
        <v>31</v>
      </c>
    </row>
    <row r="812" spans="1:5" x14ac:dyDescent="0.25">
      <c r="A812" s="9" t="str">
        <f t="shared" si="38"/>
        <v>00 STATUS - CHANGING CD</v>
      </c>
      <c r="B812" t="s">
        <v>199</v>
      </c>
      <c r="C812" s="7" t="str">
        <f t="shared" si="36"/>
        <v>31</v>
      </c>
      <c r="D812" s="8" t="s">
        <v>109</v>
      </c>
      <c r="E812" s="7" t="str">
        <f t="shared" si="37"/>
        <v>10</v>
      </c>
    </row>
    <row r="813" spans="1:5" x14ac:dyDescent="0.25">
      <c r="A813" s="9" t="str">
        <f t="shared" si="38"/>
        <v>84 REQUEST MORE TEXT FIELDS - SEND DISC INFO</v>
      </c>
      <c r="B813" t="s">
        <v>200</v>
      </c>
      <c r="C813" s="7" t="str">
        <f t="shared" si="36"/>
        <v>10</v>
      </c>
      <c r="D813" s="8" t="s">
        <v>109</v>
      </c>
      <c r="E813" s="7" t="str">
        <f t="shared" si="37"/>
        <v>31</v>
      </c>
    </row>
    <row r="814" spans="1:5" x14ac:dyDescent="0.25">
      <c r="A814" s="9" t="str">
        <f t="shared" si="38"/>
        <v>21 SWITCH TO CD?</v>
      </c>
      <c r="B814" t="s">
        <v>196</v>
      </c>
      <c r="C814" s="7" t="str">
        <f t="shared" si="36"/>
        <v>11</v>
      </c>
      <c r="D814" s="8" t="s">
        <v>109</v>
      </c>
      <c r="E814" s="7" t="str">
        <f t="shared" si="37"/>
        <v>31</v>
      </c>
    </row>
    <row r="815" spans="1:5" x14ac:dyDescent="0.25">
      <c r="A815" s="9" t="str">
        <f t="shared" si="38"/>
        <v>08 KEY RELEASED</v>
      </c>
      <c r="B815" t="s">
        <v>205</v>
      </c>
      <c r="C815" s="7" t="str">
        <f t="shared" si="36"/>
        <v>11</v>
      </c>
      <c r="D815" s="8" t="s">
        <v>109</v>
      </c>
      <c r="E815" s="7" t="str">
        <f t="shared" si="37"/>
        <v>18</v>
      </c>
    </row>
    <row r="816" spans="1:5" x14ac:dyDescent="0.25">
      <c r="A816" s="9" t="str">
        <f t="shared" si="38"/>
        <v>01 MASTER REQUEST - SLAVE POLL</v>
      </c>
      <c r="B816" t="s">
        <v>18</v>
      </c>
      <c r="C816" s="7" t="str">
        <f t="shared" ref="C816:C879" si="39">MID(B816,4,2)</f>
        <v>10</v>
      </c>
      <c r="D816" s="8" t="s">
        <v>109</v>
      </c>
      <c r="E816" s="7" t="str">
        <f t="shared" ref="E816:E879" si="40">MID(B816,1,2)</f>
        <v>31</v>
      </c>
    </row>
    <row r="817" spans="1:5" x14ac:dyDescent="0.25">
      <c r="A817" s="9" t="str">
        <f t="shared" si="38"/>
        <v>95 MAGAZINE INFO - CD1 YES, CD2 YES, CD3 YES, CD4 NO, CD5 NO, CD6 NO</v>
      </c>
      <c r="B817" t="s">
        <v>216</v>
      </c>
      <c r="C817" s="7" t="str">
        <f t="shared" si="39"/>
        <v>31</v>
      </c>
      <c r="D817" s="8" t="s">
        <v>109</v>
      </c>
      <c r="E817" s="7" t="str">
        <f t="shared" si="40"/>
        <v>10</v>
      </c>
    </row>
    <row r="818" spans="1:5" x14ac:dyDescent="0.25">
      <c r="A818" s="9" t="str">
        <f t="shared" si="38"/>
        <v>01 MASTER REQUEST - SLAVE POLL</v>
      </c>
      <c r="B818" t="s">
        <v>18</v>
      </c>
      <c r="C818" s="7" t="str">
        <f t="shared" si="39"/>
        <v>10</v>
      </c>
      <c r="D818" s="8" t="s">
        <v>109</v>
      </c>
      <c r="E818" s="7" t="str">
        <f t="shared" si="40"/>
        <v>31</v>
      </c>
    </row>
    <row r="819" spans="1:5" x14ac:dyDescent="0.25">
      <c r="A819" s="9" t="str">
        <f t="shared" si="38"/>
        <v>94 Configuration change - Mute OFF, Loudness OFF, Phone unmuted</v>
      </c>
      <c r="B819" t="s">
        <v>236</v>
      </c>
      <c r="C819" s="7" t="str">
        <f t="shared" si="39"/>
        <v>31</v>
      </c>
      <c r="D819" s="8" t="s">
        <v>109</v>
      </c>
      <c r="E819" s="7" t="str">
        <f t="shared" si="40"/>
        <v>77</v>
      </c>
    </row>
    <row r="820" spans="1:5" x14ac:dyDescent="0.25">
      <c r="A820" s="9" t="str">
        <f t="shared" si="38"/>
        <v>01 MASTER REQUEST - SLAVE POLL</v>
      </c>
      <c r="B820" t="s">
        <v>18</v>
      </c>
      <c r="C820" s="7" t="str">
        <f t="shared" si="39"/>
        <v>10</v>
      </c>
      <c r="D820" s="8" t="s">
        <v>109</v>
      </c>
      <c r="E820" s="7" t="str">
        <f t="shared" si="40"/>
        <v>31</v>
      </c>
    </row>
    <row r="821" spans="1:5" x14ac:dyDescent="0.25">
      <c r="A821" s="9" t="str">
        <f t="shared" si="38"/>
        <v>97 DISC INFO - TRACKS: 16, MINS: 36, SECS: 00, DISC: 1</v>
      </c>
      <c r="B821" t="s">
        <v>235</v>
      </c>
      <c r="C821" s="7" t="str">
        <f t="shared" si="39"/>
        <v>31</v>
      </c>
      <c r="D821" s="8" t="s">
        <v>109</v>
      </c>
      <c r="E821" s="7" t="str">
        <f t="shared" si="40"/>
        <v>10</v>
      </c>
    </row>
    <row r="822" spans="1:5" x14ac:dyDescent="0.25">
      <c r="A822" s="9" t="str">
        <f t="shared" si="38"/>
        <v>01 MASTER REQUEST - SLAVE POLL</v>
      </c>
      <c r="B822" t="s">
        <v>18</v>
      </c>
      <c r="C822" s="7" t="str">
        <f t="shared" si="39"/>
        <v>10</v>
      </c>
      <c r="D822" s="8" t="s">
        <v>109</v>
      </c>
      <c r="E822" s="7" t="str">
        <f t="shared" si="40"/>
        <v>31</v>
      </c>
    </row>
    <row r="823" spans="1:5" x14ac:dyDescent="0.25">
      <c r="A823" s="9" t="str">
        <f t="shared" si="38"/>
        <v>01 MASTER REQUEST - SLAVE POLL</v>
      </c>
      <c r="B823" t="s">
        <v>18</v>
      </c>
      <c r="C823" s="7" t="str">
        <f t="shared" si="39"/>
        <v>10</v>
      </c>
      <c r="D823" s="8" t="s">
        <v>109</v>
      </c>
      <c r="E823" s="7" t="str">
        <f t="shared" si="40"/>
        <v>31</v>
      </c>
    </row>
    <row r="824" spans="1:5" x14ac:dyDescent="0.25">
      <c r="A824" s="9" t="str">
        <f t="shared" si="38"/>
        <v>00 STATUS - CHANGED CD</v>
      </c>
      <c r="B824" t="s">
        <v>204</v>
      </c>
      <c r="C824" s="7" t="str">
        <f t="shared" si="39"/>
        <v>31</v>
      </c>
      <c r="D824" s="8" t="s">
        <v>109</v>
      </c>
      <c r="E824" s="7" t="str">
        <f t="shared" si="40"/>
        <v>10</v>
      </c>
    </row>
    <row r="825" spans="1:5" x14ac:dyDescent="0.25">
      <c r="A825" s="9" t="str">
        <f t="shared" si="38"/>
        <v>84 REQUEST MORE TEXT FIELDS - SEND MAGAZINE INFO</v>
      </c>
      <c r="B825" t="s">
        <v>198</v>
      </c>
      <c r="C825" s="7" t="str">
        <f t="shared" si="39"/>
        <v>10</v>
      </c>
      <c r="D825" s="8" t="s">
        <v>109</v>
      </c>
      <c r="E825" s="7" t="str">
        <f t="shared" si="40"/>
        <v>31</v>
      </c>
    </row>
    <row r="826" spans="1:5" x14ac:dyDescent="0.25">
      <c r="A826" s="9" t="str">
        <f t="shared" si="38"/>
        <v>01 MASTER REQUEST - TIME POLL</v>
      </c>
      <c r="B826" t="s">
        <v>34</v>
      </c>
      <c r="C826" s="7" t="str">
        <f t="shared" si="39"/>
        <v>10</v>
      </c>
      <c r="D826" s="8" t="s">
        <v>109</v>
      </c>
      <c r="E826" s="7" t="str">
        <f t="shared" si="40"/>
        <v>31</v>
      </c>
    </row>
    <row r="827" spans="1:5" x14ac:dyDescent="0.25">
      <c r="A827" s="9" t="str">
        <f t="shared" si="38"/>
        <v>00 STATUS - CHANGED CD</v>
      </c>
      <c r="B827" t="s">
        <v>204</v>
      </c>
      <c r="C827" s="7" t="str">
        <f t="shared" si="39"/>
        <v>31</v>
      </c>
      <c r="D827" s="8" t="s">
        <v>109</v>
      </c>
      <c r="E827" s="7" t="str">
        <f t="shared" si="40"/>
        <v>10</v>
      </c>
    </row>
    <row r="828" spans="1:5" x14ac:dyDescent="0.25">
      <c r="A828" s="9" t="str">
        <f t="shared" si="38"/>
        <v>84 REQUEST MORE TEXT FIELDS - SEND DISC INFO</v>
      </c>
      <c r="B828" t="s">
        <v>200</v>
      </c>
      <c r="C828" s="7" t="str">
        <f t="shared" si="39"/>
        <v>10</v>
      </c>
      <c r="D828" s="8" t="s">
        <v>109</v>
      </c>
      <c r="E828" s="7" t="str">
        <f t="shared" si="40"/>
        <v>31</v>
      </c>
    </row>
    <row r="829" spans="1:5" x14ac:dyDescent="0.25">
      <c r="A829" s="9" t="str">
        <f t="shared" si="38"/>
        <v>01 MASTER REQUEST - SLAVE POLL</v>
      </c>
      <c r="B829" t="s">
        <v>18</v>
      </c>
      <c r="C829" s="7" t="str">
        <f t="shared" si="39"/>
        <v>10</v>
      </c>
      <c r="D829" s="8" t="s">
        <v>109</v>
      </c>
      <c r="E829" s="7" t="str">
        <f t="shared" si="40"/>
        <v>31</v>
      </c>
    </row>
    <row r="830" spans="1:5" x14ac:dyDescent="0.25">
      <c r="A830" s="9" t="str">
        <f t="shared" si="38"/>
        <v>95 MAGAZINE INFO - CD1 YES, CD2 YES, CD3 YES, CD4 NO, CD5 NO, CD6 NO</v>
      </c>
      <c r="B830" t="s">
        <v>216</v>
      </c>
      <c r="C830" s="7" t="str">
        <f t="shared" si="39"/>
        <v>31</v>
      </c>
      <c r="D830" s="8" t="s">
        <v>109</v>
      </c>
      <c r="E830" s="7" t="str">
        <f t="shared" si="40"/>
        <v>10</v>
      </c>
    </row>
    <row r="831" spans="1:5" x14ac:dyDescent="0.25">
      <c r="A831" s="9" t="str">
        <f t="shared" si="38"/>
        <v>01 MASTER REQUEST - SLAVE POLL</v>
      </c>
      <c r="B831" t="s">
        <v>18</v>
      </c>
      <c r="C831" s="7" t="str">
        <f t="shared" si="39"/>
        <v>10</v>
      </c>
      <c r="D831" s="8" t="s">
        <v>109</v>
      </c>
      <c r="E831" s="7" t="str">
        <f t="shared" si="40"/>
        <v>31</v>
      </c>
    </row>
    <row r="832" spans="1:5" x14ac:dyDescent="0.25">
      <c r="A832" s="9" t="str">
        <f t="shared" si="38"/>
        <v>97 DISC INFO - TRACKS: 16, MINS: 36, SECS: 00, DISC: 1</v>
      </c>
      <c r="B832" t="s">
        <v>235</v>
      </c>
      <c r="C832" s="7" t="str">
        <f t="shared" si="39"/>
        <v>31</v>
      </c>
      <c r="D832" s="8" t="s">
        <v>109</v>
      </c>
      <c r="E832" s="7" t="str">
        <f t="shared" si="40"/>
        <v>10</v>
      </c>
    </row>
    <row r="833" spans="1:5" x14ac:dyDescent="0.25">
      <c r="A833" s="9" t="str">
        <f t="shared" si="38"/>
        <v>01 MASTER REQUEST - SLAVE POLL</v>
      </c>
      <c r="B833" t="s">
        <v>18</v>
      </c>
      <c r="C833" s="7" t="str">
        <f t="shared" si="39"/>
        <v>10</v>
      </c>
      <c r="D833" s="8" t="s">
        <v>109</v>
      </c>
      <c r="E833" s="7" t="str">
        <f t="shared" si="40"/>
        <v>31</v>
      </c>
    </row>
    <row r="834" spans="1:5" x14ac:dyDescent="0.25">
      <c r="A834" s="9" t="str">
        <f t="shared" si="38"/>
        <v>00 STATUS - CHANGED CD</v>
      </c>
      <c r="B834" t="s">
        <v>204</v>
      </c>
      <c r="C834" s="7" t="str">
        <f t="shared" si="39"/>
        <v>31</v>
      </c>
      <c r="D834" s="8" t="s">
        <v>109</v>
      </c>
      <c r="E834" s="7" t="str">
        <f t="shared" si="40"/>
        <v>10</v>
      </c>
    </row>
    <row r="835" spans="1:5" x14ac:dyDescent="0.25">
      <c r="A835" s="9" t="str">
        <f t="shared" ref="A835:A898" si="41">ParseUnilink(B835)</f>
        <v>84 REQUEST MORE TEXT FIELDS - SEND MAGAZINE INFO</v>
      </c>
      <c r="B835" t="s">
        <v>198</v>
      </c>
      <c r="C835" s="7" t="str">
        <f t="shared" si="39"/>
        <v>10</v>
      </c>
      <c r="D835" s="8" t="s">
        <v>109</v>
      </c>
      <c r="E835" s="7" t="str">
        <f t="shared" si="40"/>
        <v>31</v>
      </c>
    </row>
    <row r="836" spans="1:5" x14ac:dyDescent="0.25">
      <c r="A836" s="9" t="str">
        <f t="shared" si="41"/>
        <v>01 MASTER REQUEST - TIME POLL</v>
      </c>
      <c r="B836" t="s">
        <v>34</v>
      </c>
      <c r="C836" s="7" t="str">
        <f t="shared" si="39"/>
        <v>10</v>
      </c>
      <c r="D836" s="8" t="s">
        <v>109</v>
      </c>
      <c r="E836" s="7" t="str">
        <f t="shared" si="40"/>
        <v>31</v>
      </c>
    </row>
    <row r="837" spans="1:5" x14ac:dyDescent="0.25">
      <c r="A837" s="9" t="str">
        <f t="shared" si="41"/>
        <v>00 STATUS - CHANGED CD</v>
      </c>
      <c r="B837" t="s">
        <v>204</v>
      </c>
      <c r="C837" s="7" t="str">
        <f t="shared" si="39"/>
        <v>31</v>
      </c>
      <c r="D837" s="8" t="s">
        <v>109</v>
      </c>
      <c r="E837" s="7" t="str">
        <f t="shared" si="40"/>
        <v>10</v>
      </c>
    </row>
    <row r="838" spans="1:5" x14ac:dyDescent="0.25">
      <c r="A838" s="9" t="str">
        <f t="shared" si="41"/>
        <v>84 REQUEST MORE TEXT FIELDS - SEND DISC INFO</v>
      </c>
      <c r="B838" t="s">
        <v>200</v>
      </c>
      <c r="C838" s="7" t="str">
        <f t="shared" si="39"/>
        <v>10</v>
      </c>
      <c r="D838" s="8" t="s">
        <v>109</v>
      </c>
      <c r="E838" s="7" t="str">
        <f t="shared" si="40"/>
        <v>31</v>
      </c>
    </row>
    <row r="839" spans="1:5" x14ac:dyDescent="0.25">
      <c r="A839" s="9" t="str">
        <f t="shared" si="41"/>
        <v>01 MASTER REQUEST - SLAVE POLL</v>
      </c>
      <c r="B839" t="s">
        <v>18</v>
      </c>
      <c r="C839" s="7" t="str">
        <f t="shared" si="39"/>
        <v>10</v>
      </c>
      <c r="D839" s="8" t="s">
        <v>109</v>
      </c>
      <c r="E839" s="7" t="str">
        <f t="shared" si="40"/>
        <v>31</v>
      </c>
    </row>
    <row r="840" spans="1:5" x14ac:dyDescent="0.25">
      <c r="A840" s="9" t="str">
        <f t="shared" si="41"/>
        <v>01 MASTER REQUEST - SLAVE POLL</v>
      </c>
      <c r="B840" t="s">
        <v>18</v>
      </c>
      <c r="C840" s="7" t="str">
        <f t="shared" si="39"/>
        <v>10</v>
      </c>
      <c r="D840" s="8" t="s">
        <v>109</v>
      </c>
      <c r="E840" s="7" t="str">
        <f t="shared" si="40"/>
        <v>31</v>
      </c>
    </row>
    <row r="841" spans="1:5" x14ac:dyDescent="0.25">
      <c r="A841" s="9" t="str">
        <f t="shared" si="41"/>
        <v>97 DISC INFO - TRACKS: 16, MINS: 36, SECS: 00, DISC: 1</v>
      </c>
      <c r="B841" t="s">
        <v>235</v>
      </c>
      <c r="C841" s="7" t="str">
        <f t="shared" si="39"/>
        <v>31</v>
      </c>
      <c r="D841" s="8" t="s">
        <v>109</v>
      </c>
      <c r="E841" s="7" t="str">
        <f t="shared" si="40"/>
        <v>10</v>
      </c>
    </row>
    <row r="842" spans="1:5" x14ac:dyDescent="0.25">
      <c r="A842" s="9" t="str">
        <f t="shared" si="41"/>
        <v>21 SWITCH TO CD?</v>
      </c>
      <c r="B842" t="s">
        <v>196</v>
      </c>
      <c r="C842" s="7" t="str">
        <f t="shared" si="39"/>
        <v>11</v>
      </c>
      <c r="D842" s="8" t="s">
        <v>109</v>
      </c>
      <c r="E842" s="7" t="str">
        <f t="shared" si="40"/>
        <v>31</v>
      </c>
    </row>
    <row r="843" spans="1:5" x14ac:dyDescent="0.25">
      <c r="A843" s="9" t="str">
        <f t="shared" si="41"/>
        <v>08 KEY RELEASED</v>
      </c>
      <c r="B843" t="s">
        <v>205</v>
      </c>
      <c r="C843" s="7" t="str">
        <f t="shared" si="39"/>
        <v>11</v>
      </c>
      <c r="D843" s="8" t="s">
        <v>109</v>
      </c>
      <c r="E843" s="7" t="str">
        <f t="shared" si="40"/>
        <v>18</v>
      </c>
    </row>
    <row r="844" spans="1:5" x14ac:dyDescent="0.25">
      <c r="A844" s="9" t="str">
        <f t="shared" si="41"/>
        <v>01 MASTER REQUEST - SLAVE POLL</v>
      </c>
      <c r="B844" t="s">
        <v>18</v>
      </c>
      <c r="C844" s="7" t="str">
        <f t="shared" si="39"/>
        <v>10</v>
      </c>
      <c r="D844" s="8" t="s">
        <v>109</v>
      </c>
      <c r="E844" s="7" t="str">
        <f t="shared" si="40"/>
        <v>31</v>
      </c>
    </row>
    <row r="845" spans="1:5" x14ac:dyDescent="0.25">
      <c r="A845" s="9" t="str">
        <f t="shared" si="41"/>
        <v>94 Configuration change - Mute OFF, Loudness OFF, Phone unmuted</v>
      </c>
      <c r="B845" t="s">
        <v>224</v>
      </c>
      <c r="C845" s="7" t="str">
        <f t="shared" si="39"/>
        <v>31</v>
      </c>
      <c r="D845" s="8" t="s">
        <v>109</v>
      </c>
      <c r="E845" s="7" t="str">
        <f t="shared" si="40"/>
        <v>77</v>
      </c>
    </row>
    <row r="846" spans="1:5" x14ac:dyDescent="0.25">
      <c r="A846" s="9" t="str">
        <f t="shared" si="41"/>
        <v>84 REQUEST MORE TEXT FIELDS - SEND MAGAZINE INFO</v>
      </c>
      <c r="B846" t="s">
        <v>198</v>
      </c>
      <c r="C846" s="7" t="str">
        <f t="shared" si="39"/>
        <v>10</v>
      </c>
      <c r="D846" s="8" t="s">
        <v>109</v>
      </c>
      <c r="E846" s="7" t="str">
        <f t="shared" si="40"/>
        <v>31</v>
      </c>
    </row>
    <row r="847" spans="1:5" x14ac:dyDescent="0.25">
      <c r="A847" s="9" t="str">
        <f t="shared" si="41"/>
        <v>01 MASTER REQUEST - TIME POLL</v>
      </c>
      <c r="B847" t="s">
        <v>34</v>
      </c>
      <c r="C847" s="7" t="str">
        <f t="shared" si="39"/>
        <v>10</v>
      </c>
      <c r="D847" s="8" t="s">
        <v>109</v>
      </c>
      <c r="E847" s="7" t="str">
        <f t="shared" si="40"/>
        <v>31</v>
      </c>
    </row>
    <row r="848" spans="1:5" x14ac:dyDescent="0.25">
      <c r="A848" s="9" t="str">
        <f t="shared" si="41"/>
        <v>84 REQUEST MORE TEXT FIELDS - SEND DISC INFO</v>
      </c>
      <c r="B848" t="s">
        <v>200</v>
      </c>
      <c r="C848" s="7" t="str">
        <f t="shared" si="39"/>
        <v>10</v>
      </c>
      <c r="D848" s="8" t="s">
        <v>109</v>
      </c>
      <c r="E848" s="7" t="str">
        <f t="shared" si="40"/>
        <v>31</v>
      </c>
    </row>
    <row r="849" spans="1:5" x14ac:dyDescent="0.25">
      <c r="A849" s="9" t="str">
        <f t="shared" si="41"/>
        <v>01 MASTER REQUEST - SLAVE POLL</v>
      </c>
      <c r="B849" t="s">
        <v>18</v>
      </c>
      <c r="C849" s="7" t="str">
        <f t="shared" si="39"/>
        <v>10</v>
      </c>
      <c r="D849" s="8" t="s">
        <v>109</v>
      </c>
      <c r="E849" s="7" t="str">
        <f t="shared" si="40"/>
        <v>31</v>
      </c>
    </row>
    <row r="850" spans="1:5" x14ac:dyDescent="0.25">
      <c r="A850" s="9" t="str">
        <f t="shared" si="41"/>
        <v>95 MAGAZINE INFO - CD1 YES, CD2 YES, CD3 YES, CD4 NO, CD5 NO, CD6 NO</v>
      </c>
      <c r="B850" t="s">
        <v>216</v>
      </c>
      <c r="C850" s="7" t="str">
        <f t="shared" si="39"/>
        <v>31</v>
      </c>
      <c r="D850" s="8" t="s">
        <v>109</v>
      </c>
      <c r="E850" s="7" t="str">
        <f t="shared" si="40"/>
        <v>10</v>
      </c>
    </row>
    <row r="851" spans="1:5" x14ac:dyDescent="0.25">
      <c r="A851" s="9" t="str">
        <f t="shared" si="41"/>
        <v>01 MASTER REQUEST - SLAVE POLL</v>
      </c>
      <c r="B851" t="s">
        <v>18</v>
      </c>
      <c r="C851" s="7" t="str">
        <f t="shared" si="39"/>
        <v>10</v>
      </c>
      <c r="D851" s="8" t="s">
        <v>109</v>
      </c>
      <c r="E851" s="7" t="str">
        <f t="shared" si="40"/>
        <v>31</v>
      </c>
    </row>
    <row r="852" spans="1:5" x14ac:dyDescent="0.25">
      <c r="A852" s="9" t="str">
        <f t="shared" si="41"/>
        <v>97 DISC INFO - TRACKS: 16, MINS: 36, SECS: 00, DISC: 1</v>
      </c>
      <c r="B852" t="s">
        <v>235</v>
      </c>
      <c r="C852" s="7" t="str">
        <f t="shared" si="39"/>
        <v>31</v>
      </c>
      <c r="D852" s="8" t="s">
        <v>109</v>
      </c>
      <c r="E852" s="7" t="str">
        <f t="shared" si="40"/>
        <v>10</v>
      </c>
    </row>
    <row r="853" spans="1:5" x14ac:dyDescent="0.25">
      <c r="A853" s="9" t="str">
        <f t="shared" si="41"/>
        <v>01 MASTER REQUEST - SLAVE POLL</v>
      </c>
      <c r="B853" t="s">
        <v>18</v>
      </c>
      <c r="C853" s="7" t="str">
        <f t="shared" si="39"/>
        <v>10</v>
      </c>
      <c r="D853" s="8" t="s">
        <v>109</v>
      </c>
      <c r="E853" s="7" t="str">
        <f t="shared" si="40"/>
        <v>31</v>
      </c>
    </row>
    <row r="854" spans="1:5" x14ac:dyDescent="0.25">
      <c r="A854" s="9" t="str">
        <f t="shared" si="41"/>
        <v>94 Configuration change - Mute OFF, Loudness OFF, Phone unmuted</v>
      </c>
      <c r="B854" t="s">
        <v>225</v>
      </c>
      <c r="C854" s="7" t="str">
        <f t="shared" si="39"/>
        <v>31</v>
      </c>
      <c r="D854" s="8" t="s">
        <v>109</v>
      </c>
      <c r="E854" s="7" t="str">
        <f t="shared" si="40"/>
        <v>70</v>
      </c>
    </row>
    <row r="855" spans="1:5" x14ac:dyDescent="0.25">
      <c r="A855" s="9" t="str">
        <f t="shared" si="41"/>
        <v>00 STATUS - CHANGED CD</v>
      </c>
      <c r="B855" t="s">
        <v>204</v>
      </c>
      <c r="C855" s="7" t="str">
        <f t="shared" si="39"/>
        <v>31</v>
      </c>
      <c r="D855" s="8" t="s">
        <v>109</v>
      </c>
      <c r="E855" s="7" t="str">
        <f t="shared" si="40"/>
        <v>10</v>
      </c>
    </row>
    <row r="856" spans="1:5" x14ac:dyDescent="0.25">
      <c r="A856" s="9" t="str">
        <f t="shared" si="41"/>
        <v>01 MASTER REQUEST - SLAVE POLL</v>
      </c>
      <c r="B856" t="s">
        <v>18</v>
      </c>
      <c r="C856" s="7" t="str">
        <f t="shared" si="39"/>
        <v>10</v>
      </c>
      <c r="D856" s="8" t="s">
        <v>109</v>
      </c>
      <c r="E856" s="7" t="str">
        <f t="shared" si="40"/>
        <v>31</v>
      </c>
    </row>
    <row r="857" spans="1:5" x14ac:dyDescent="0.25">
      <c r="A857" s="9" t="str">
        <f t="shared" si="41"/>
        <v>01 MASTER REQUEST - SLAVE POLL</v>
      </c>
      <c r="B857" t="s">
        <v>18</v>
      </c>
      <c r="C857" s="7" t="str">
        <f t="shared" si="39"/>
        <v>10</v>
      </c>
      <c r="D857" s="8" t="s">
        <v>109</v>
      </c>
      <c r="E857" s="7" t="str">
        <f t="shared" si="40"/>
        <v>31</v>
      </c>
    </row>
    <row r="858" spans="1:5" x14ac:dyDescent="0.25">
      <c r="A858" s="9" t="str">
        <f t="shared" si="41"/>
        <v>90 TIME- ???</v>
      </c>
      <c r="B858" t="s">
        <v>241</v>
      </c>
      <c r="C858" s="7" t="str">
        <f t="shared" si="39"/>
        <v>31</v>
      </c>
      <c r="D858" s="8" t="s">
        <v>109</v>
      </c>
      <c r="E858" s="7" t="str">
        <f t="shared" si="40"/>
        <v>70</v>
      </c>
    </row>
    <row r="859" spans="1:5" x14ac:dyDescent="0.25">
      <c r="A859" s="9" t="str">
        <f t="shared" si="41"/>
        <v>01 MASTER REQUEST - SLAVE POLL</v>
      </c>
      <c r="B859" t="s">
        <v>18</v>
      </c>
      <c r="C859" s="7" t="str">
        <f t="shared" si="39"/>
        <v>10</v>
      </c>
      <c r="D859" s="8" t="s">
        <v>109</v>
      </c>
      <c r="E859" s="7" t="str">
        <f t="shared" si="40"/>
        <v>31</v>
      </c>
    </row>
    <row r="860" spans="1:5" x14ac:dyDescent="0.25">
      <c r="A860" s="9" t="str">
        <f t="shared" si="41"/>
        <v>01 MASTER REQUEST - SLAVE POLL</v>
      </c>
      <c r="B860" t="s">
        <v>18</v>
      </c>
      <c r="C860" s="7" t="str">
        <f t="shared" si="39"/>
        <v>10</v>
      </c>
      <c r="D860" s="8" t="s">
        <v>109</v>
      </c>
      <c r="E860" s="7" t="str">
        <f t="shared" si="40"/>
        <v>31</v>
      </c>
    </row>
    <row r="861" spans="1:5" x14ac:dyDescent="0.25">
      <c r="A861" s="9" t="str">
        <f t="shared" si="41"/>
        <v>00 STATUS - PLAYING</v>
      </c>
      <c r="B861" t="s">
        <v>226</v>
      </c>
      <c r="C861" s="7" t="str">
        <f t="shared" si="39"/>
        <v>31</v>
      </c>
      <c r="D861" s="8" t="s">
        <v>109</v>
      </c>
      <c r="E861" s="7" t="str">
        <f t="shared" si="40"/>
        <v>10</v>
      </c>
    </row>
    <row r="862" spans="1:5" x14ac:dyDescent="0.25">
      <c r="A862" s="9" t="str">
        <f t="shared" si="41"/>
        <v>00 STATUS - PLAYING</v>
      </c>
      <c r="B862" t="s">
        <v>226</v>
      </c>
      <c r="C862" s="7" t="str">
        <f t="shared" si="39"/>
        <v>31</v>
      </c>
      <c r="D862" s="8" t="s">
        <v>109</v>
      </c>
      <c r="E862" s="7" t="str">
        <f t="shared" si="40"/>
        <v>10</v>
      </c>
    </row>
    <row r="863" spans="1:5" x14ac:dyDescent="0.25">
      <c r="A863" s="9" t="str">
        <f t="shared" si="41"/>
        <v>84 REQUEST MORE TEXT FIELDS - SEND DISC INFO</v>
      </c>
      <c r="B863" t="s">
        <v>200</v>
      </c>
      <c r="C863" s="7" t="str">
        <f t="shared" si="39"/>
        <v>10</v>
      </c>
      <c r="D863" s="8" t="s">
        <v>109</v>
      </c>
      <c r="E863" s="7" t="str">
        <f t="shared" si="40"/>
        <v>31</v>
      </c>
    </row>
    <row r="864" spans="1:5" x14ac:dyDescent="0.25">
      <c r="A864" s="9" t="str">
        <f t="shared" si="41"/>
        <v>01 MASTER REQUEST - SLAVE POLL</v>
      </c>
      <c r="B864" t="s">
        <v>18</v>
      </c>
      <c r="C864" s="7" t="str">
        <f t="shared" si="39"/>
        <v>10</v>
      </c>
      <c r="D864" s="8" t="s">
        <v>109</v>
      </c>
      <c r="E864" s="7" t="str">
        <f t="shared" si="40"/>
        <v>31</v>
      </c>
    </row>
    <row r="865" spans="1:5" x14ac:dyDescent="0.25">
      <c r="A865" s="9" t="str">
        <f t="shared" si="41"/>
        <v>95 MAGAZINE INFO - CD1 YES, CD2 YES, CD3 YES, CD4 NO, CD5 NO, CD6 NO</v>
      </c>
      <c r="B865" t="s">
        <v>216</v>
      </c>
      <c r="C865" s="7" t="str">
        <f t="shared" si="39"/>
        <v>31</v>
      </c>
      <c r="D865" s="8" t="s">
        <v>109</v>
      </c>
      <c r="E865" s="7" t="str">
        <f t="shared" si="40"/>
        <v>10</v>
      </c>
    </row>
    <row r="866" spans="1:5" x14ac:dyDescent="0.25">
      <c r="A866" s="9" t="str">
        <f t="shared" si="41"/>
        <v>01 MASTER REQUEST - SLAVE POLL</v>
      </c>
      <c r="B866" t="s">
        <v>18</v>
      </c>
      <c r="C866" s="7" t="str">
        <f t="shared" si="39"/>
        <v>10</v>
      </c>
      <c r="D866" s="8" t="s">
        <v>109</v>
      </c>
      <c r="E866" s="7" t="str">
        <f t="shared" si="40"/>
        <v>31</v>
      </c>
    </row>
    <row r="867" spans="1:5" x14ac:dyDescent="0.25">
      <c r="A867" s="9" t="str">
        <f t="shared" si="41"/>
        <v>97 DISC INFO - TRACKS: 16, MINS: 79, SECS: 36, DISC: 1</v>
      </c>
      <c r="B867" t="s">
        <v>207</v>
      </c>
      <c r="C867" s="7" t="str">
        <f t="shared" si="39"/>
        <v>31</v>
      </c>
      <c r="D867" s="8" t="s">
        <v>109</v>
      </c>
      <c r="E867" s="7" t="str">
        <f t="shared" si="40"/>
        <v>10</v>
      </c>
    </row>
    <row r="868" spans="1:5" x14ac:dyDescent="0.25">
      <c r="A868" s="9" t="str">
        <f t="shared" si="41"/>
        <v>01 MASTER REQUEST - SLAVE POLL</v>
      </c>
      <c r="B868" t="s">
        <v>18</v>
      </c>
      <c r="C868" s="7" t="str">
        <f t="shared" si="39"/>
        <v>10</v>
      </c>
      <c r="D868" s="8" t="s">
        <v>109</v>
      </c>
      <c r="E868" s="7" t="str">
        <f t="shared" si="40"/>
        <v>31</v>
      </c>
    </row>
    <row r="869" spans="1:5" x14ac:dyDescent="0.25">
      <c r="A869" s="9" t="str">
        <f t="shared" si="41"/>
        <v>90 TIME- TRACK: 01, 00:01, DISC: 1</v>
      </c>
      <c r="B869" t="s">
        <v>237</v>
      </c>
      <c r="C869" s="7" t="str">
        <f t="shared" si="39"/>
        <v>31</v>
      </c>
      <c r="D869" s="8" t="s">
        <v>109</v>
      </c>
      <c r="E869" s="7" t="str">
        <f t="shared" si="40"/>
        <v>70</v>
      </c>
    </row>
    <row r="870" spans="1:5" x14ac:dyDescent="0.25">
      <c r="A870" s="9" t="str">
        <f t="shared" si="41"/>
        <v>01 MASTER REQUEST - SLAVE POLL</v>
      </c>
      <c r="B870" t="s">
        <v>18</v>
      </c>
      <c r="C870" s="7" t="str">
        <f t="shared" si="39"/>
        <v>10</v>
      </c>
      <c r="D870" s="8" t="s">
        <v>109</v>
      </c>
      <c r="E870" s="7" t="str">
        <f t="shared" si="40"/>
        <v>31</v>
      </c>
    </row>
    <row r="871" spans="1:5" x14ac:dyDescent="0.25">
      <c r="A871" s="9" t="str">
        <f t="shared" si="41"/>
        <v>00 STATUS - PLAYING</v>
      </c>
      <c r="B871" t="s">
        <v>226</v>
      </c>
      <c r="C871" s="7" t="str">
        <f t="shared" si="39"/>
        <v>31</v>
      </c>
      <c r="D871" s="8" t="s">
        <v>109</v>
      </c>
      <c r="E871" s="7" t="str">
        <f t="shared" si="40"/>
        <v>10</v>
      </c>
    </row>
    <row r="872" spans="1:5" x14ac:dyDescent="0.25">
      <c r="A872" s="9" t="str">
        <f t="shared" si="41"/>
        <v>84 REQUEST MORE TEXT FIELDS - SEND MAGAZINE INFO</v>
      </c>
      <c r="B872" t="s">
        <v>198</v>
      </c>
      <c r="C872" s="7" t="str">
        <f t="shared" si="39"/>
        <v>10</v>
      </c>
      <c r="D872" s="8" t="s">
        <v>109</v>
      </c>
      <c r="E872" s="7" t="str">
        <f t="shared" si="40"/>
        <v>31</v>
      </c>
    </row>
    <row r="873" spans="1:5" x14ac:dyDescent="0.25">
      <c r="A873" s="9" t="str">
        <f t="shared" si="41"/>
        <v>01 MASTER REQUEST - TIME POLL</v>
      </c>
      <c r="B873" t="s">
        <v>34</v>
      </c>
      <c r="C873" s="7" t="str">
        <f t="shared" si="39"/>
        <v>10</v>
      </c>
      <c r="D873" s="8" t="s">
        <v>109</v>
      </c>
      <c r="E873" s="7" t="str">
        <f t="shared" si="40"/>
        <v>31</v>
      </c>
    </row>
    <row r="874" spans="1:5" x14ac:dyDescent="0.25">
      <c r="A874" s="9" t="str">
        <f t="shared" si="41"/>
        <v>00 STATUS - PLAYING</v>
      </c>
      <c r="B874" t="s">
        <v>226</v>
      </c>
      <c r="C874" s="7" t="str">
        <f t="shared" si="39"/>
        <v>31</v>
      </c>
      <c r="D874" s="8" t="s">
        <v>109</v>
      </c>
      <c r="E874" s="7" t="str">
        <f t="shared" si="40"/>
        <v>10</v>
      </c>
    </row>
    <row r="875" spans="1:5" x14ac:dyDescent="0.25">
      <c r="A875" s="9" t="str">
        <f t="shared" si="41"/>
        <v>84 REQUEST MORE TEXT FIELDS - SEND DISC INFO</v>
      </c>
      <c r="B875" t="s">
        <v>200</v>
      </c>
      <c r="C875" s="7" t="str">
        <f t="shared" si="39"/>
        <v>10</v>
      </c>
      <c r="D875" s="8" t="s">
        <v>109</v>
      </c>
      <c r="E875" s="7" t="str">
        <f t="shared" si="40"/>
        <v>31</v>
      </c>
    </row>
    <row r="876" spans="1:5" x14ac:dyDescent="0.25">
      <c r="A876" s="9" t="str">
        <f t="shared" si="41"/>
        <v>95 MAGAZINE INFO - CD1 YES, CD2 YES, CD3 YES, CD4 NO, CD5 NO, CD6 NO</v>
      </c>
      <c r="B876" t="s">
        <v>216</v>
      </c>
      <c r="C876" s="7" t="str">
        <f t="shared" si="39"/>
        <v>31</v>
      </c>
      <c r="D876" s="8" t="s">
        <v>109</v>
      </c>
      <c r="E876" s="7" t="str">
        <f t="shared" si="40"/>
        <v>10</v>
      </c>
    </row>
    <row r="877" spans="1:5" x14ac:dyDescent="0.25">
      <c r="A877" s="9" t="str">
        <f t="shared" si="41"/>
        <v>01 MASTER REQUEST - SLAVE POLL</v>
      </c>
      <c r="B877" t="s">
        <v>18</v>
      </c>
      <c r="C877" s="7" t="str">
        <f t="shared" si="39"/>
        <v>10</v>
      </c>
      <c r="D877" s="8" t="s">
        <v>109</v>
      </c>
      <c r="E877" s="7" t="str">
        <f t="shared" si="40"/>
        <v>31</v>
      </c>
    </row>
    <row r="878" spans="1:5" x14ac:dyDescent="0.25">
      <c r="A878" s="9" t="str">
        <f t="shared" si="41"/>
        <v>97 DISC INFO - TRACKS: 16, MINS: 79, SECS: 36, DISC: 1</v>
      </c>
      <c r="B878" t="s">
        <v>207</v>
      </c>
      <c r="C878" s="7" t="str">
        <f t="shared" si="39"/>
        <v>31</v>
      </c>
      <c r="D878" s="8" t="s">
        <v>109</v>
      </c>
      <c r="E878" s="7" t="str">
        <f t="shared" si="40"/>
        <v>10</v>
      </c>
    </row>
    <row r="879" spans="1:5" x14ac:dyDescent="0.25">
      <c r="A879" s="9" t="str">
        <f t="shared" si="41"/>
        <v>01 MASTER REQUEST - SLAVE POLL</v>
      </c>
      <c r="B879" t="s">
        <v>18</v>
      </c>
      <c r="C879" s="7" t="str">
        <f t="shared" si="39"/>
        <v>10</v>
      </c>
      <c r="D879" s="8" t="s">
        <v>109</v>
      </c>
      <c r="E879" s="7" t="str">
        <f t="shared" si="40"/>
        <v>31</v>
      </c>
    </row>
    <row r="880" spans="1:5" x14ac:dyDescent="0.25">
      <c r="A880" s="9" t="str">
        <f t="shared" si="41"/>
        <v>01 MASTER REQUEST - SLAVE POLL</v>
      </c>
      <c r="B880" t="s">
        <v>18</v>
      </c>
      <c r="C880" s="7" t="str">
        <f t="shared" ref="C880:C929" si="42">MID(B880,4,2)</f>
        <v>10</v>
      </c>
      <c r="D880" s="8" t="s">
        <v>109</v>
      </c>
      <c r="E880" s="7" t="str">
        <f t="shared" ref="E880:E929" si="43">MID(B880,1,2)</f>
        <v>31</v>
      </c>
    </row>
    <row r="881" spans="1:5" x14ac:dyDescent="0.25">
      <c r="A881" s="9" t="str">
        <f t="shared" si="41"/>
        <v>00 STATUS - PLAYING</v>
      </c>
      <c r="B881" t="s">
        <v>226</v>
      </c>
      <c r="C881" s="7" t="str">
        <f t="shared" si="42"/>
        <v>31</v>
      </c>
      <c r="D881" s="8" t="s">
        <v>109</v>
      </c>
      <c r="E881" s="7" t="str">
        <f t="shared" si="43"/>
        <v>10</v>
      </c>
    </row>
    <row r="882" spans="1:5" x14ac:dyDescent="0.25">
      <c r="A882" s="9" t="str">
        <f t="shared" si="41"/>
        <v>84 REQUEST MORE TEXT FIELDS - SEND MAGAZINE INFO</v>
      </c>
      <c r="B882" t="s">
        <v>198</v>
      </c>
      <c r="C882" s="7" t="str">
        <f t="shared" si="42"/>
        <v>10</v>
      </c>
      <c r="D882" s="8" t="s">
        <v>109</v>
      </c>
      <c r="E882" s="7" t="str">
        <f t="shared" si="43"/>
        <v>31</v>
      </c>
    </row>
    <row r="883" spans="1:5" x14ac:dyDescent="0.25">
      <c r="A883" s="9" t="str">
        <f t="shared" si="41"/>
        <v>01 MASTER REQUEST - TIME POLL</v>
      </c>
      <c r="B883" t="s">
        <v>34</v>
      </c>
      <c r="C883" s="7" t="str">
        <f t="shared" si="42"/>
        <v>10</v>
      </c>
      <c r="D883" s="8" t="s">
        <v>109</v>
      </c>
      <c r="E883" s="7" t="str">
        <f t="shared" si="43"/>
        <v>31</v>
      </c>
    </row>
    <row r="884" spans="1:5" x14ac:dyDescent="0.25">
      <c r="A884" s="9" t="str">
        <f t="shared" si="41"/>
        <v>00 STATUS - PLAYING</v>
      </c>
      <c r="B884" t="s">
        <v>226</v>
      </c>
      <c r="C884" s="7" t="str">
        <f t="shared" si="42"/>
        <v>31</v>
      </c>
      <c r="D884" s="8" t="s">
        <v>109</v>
      </c>
      <c r="E884" s="7" t="str">
        <f t="shared" si="43"/>
        <v>10</v>
      </c>
    </row>
    <row r="885" spans="1:5" x14ac:dyDescent="0.25">
      <c r="A885" s="9" t="str">
        <f t="shared" si="41"/>
        <v>01 MASTER REQUEST - SLAVE POLL</v>
      </c>
      <c r="B885" t="s">
        <v>18</v>
      </c>
      <c r="C885" s="7" t="str">
        <f t="shared" si="42"/>
        <v>10</v>
      </c>
      <c r="D885" s="8" t="s">
        <v>109</v>
      </c>
      <c r="E885" s="7" t="str">
        <f t="shared" si="43"/>
        <v>31</v>
      </c>
    </row>
    <row r="886" spans="1:5" x14ac:dyDescent="0.25">
      <c r="A886" s="9" t="str">
        <f t="shared" si="41"/>
        <v>95 MAGAZINE INFO - CD1 YES, CD2 YES, CD3 YES, CD4 NO, CD5 NO, CD6 NO</v>
      </c>
      <c r="B886" t="s">
        <v>216</v>
      </c>
      <c r="C886" s="7" t="str">
        <f t="shared" si="42"/>
        <v>31</v>
      </c>
      <c r="D886" s="8" t="s">
        <v>109</v>
      </c>
      <c r="E886" s="7" t="str">
        <f t="shared" si="43"/>
        <v>10</v>
      </c>
    </row>
    <row r="887" spans="1:5" x14ac:dyDescent="0.25">
      <c r="A887" s="9" t="str">
        <f t="shared" si="41"/>
        <v>01 MASTER REQUEST - SLAVE POLL</v>
      </c>
      <c r="B887" t="s">
        <v>18</v>
      </c>
      <c r="C887" s="7" t="str">
        <f t="shared" si="42"/>
        <v>10</v>
      </c>
      <c r="D887" s="8" t="s">
        <v>109</v>
      </c>
      <c r="E887" s="7" t="str">
        <f t="shared" si="43"/>
        <v>31</v>
      </c>
    </row>
    <row r="888" spans="1:5" x14ac:dyDescent="0.25">
      <c r="A888" s="9" t="str">
        <f t="shared" si="41"/>
        <v>90 TIME- TRACK: 01, 00:03, DISC: 1</v>
      </c>
      <c r="B888" t="s">
        <v>227</v>
      </c>
      <c r="C888" s="7" t="str">
        <f t="shared" si="42"/>
        <v>31</v>
      </c>
      <c r="D888" s="8" t="s">
        <v>109</v>
      </c>
      <c r="E888" s="7" t="str">
        <f t="shared" si="43"/>
        <v>70</v>
      </c>
    </row>
    <row r="889" spans="1:5" x14ac:dyDescent="0.25">
      <c r="A889" s="9" t="str">
        <f t="shared" si="41"/>
        <v>01 MASTER REQUEST - SLAVE POLL</v>
      </c>
      <c r="B889" t="s">
        <v>18</v>
      </c>
      <c r="C889" s="7" t="str">
        <f t="shared" si="42"/>
        <v>10</v>
      </c>
      <c r="D889" s="8" t="s">
        <v>109</v>
      </c>
      <c r="E889" s="7" t="str">
        <f t="shared" si="43"/>
        <v>31</v>
      </c>
    </row>
    <row r="890" spans="1:5" x14ac:dyDescent="0.25">
      <c r="A890" s="9" t="str">
        <f t="shared" si="41"/>
        <v>97 DISC INFO - TRACKS: 16, MINS: 79, SECS: 36, DISC: 1</v>
      </c>
      <c r="B890" t="s">
        <v>207</v>
      </c>
      <c r="C890" s="7" t="str">
        <f t="shared" si="42"/>
        <v>31</v>
      </c>
      <c r="D890" s="8" t="s">
        <v>109</v>
      </c>
      <c r="E890" s="7" t="str">
        <f t="shared" si="43"/>
        <v>10</v>
      </c>
    </row>
    <row r="891" spans="1:5" x14ac:dyDescent="0.25">
      <c r="A891" s="9" t="str">
        <f t="shared" si="41"/>
        <v>01 MASTER REQUEST - SLAVE POLL</v>
      </c>
      <c r="B891" t="s">
        <v>18</v>
      </c>
      <c r="C891" s="7" t="str">
        <f t="shared" si="42"/>
        <v>10</v>
      </c>
      <c r="D891" s="8" t="s">
        <v>109</v>
      </c>
      <c r="E891" s="7" t="str">
        <f t="shared" si="43"/>
        <v>31</v>
      </c>
    </row>
    <row r="892" spans="1:5" x14ac:dyDescent="0.25">
      <c r="A892" s="9" t="str">
        <f t="shared" si="41"/>
        <v>00 STATUS - PLAYING</v>
      </c>
      <c r="B892" t="s">
        <v>226</v>
      </c>
      <c r="C892" s="7" t="str">
        <f t="shared" si="42"/>
        <v>31</v>
      </c>
      <c r="D892" s="8" t="s">
        <v>109</v>
      </c>
      <c r="E892" s="7" t="str">
        <f t="shared" si="43"/>
        <v>10</v>
      </c>
    </row>
    <row r="893" spans="1:5" x14ac:dyDescent="0.25">
      <c r="A893" s="9" t="str">
        <f t="shared" si="41"/>
        <v>90 TIME- TRACK: 01, 00:04, DISC: 1</v>
      </c>
      <c r="B893" t="s">
        <v>228</v>
      </c>
      <c r="C893" s="7" t="str">
        <f t="shared" si="42"/>
        <v>31</v>
      </c>
      <c r="D893" s="8" t="s">
        <v>109</v>
      </c>
      <c r="E893" s="7" t="str">
        <f t="shared" si="43"/>
        <v>70</v>
      </c>
    </row>
    <row r="894" spans="1:5" x14ac:dyDescent="0.25">
      <c r="A894" s="9" t="str">
        <f t="shared" si="41"/>
        <v>01 MASTER REQUEST - SLAVE POLL</v>
      </c>
      <c r="B894" t="s">
        <v>18</v>
      </c>
      <c r="C894" s="7" t="str">
        <f t="shared" si="42"/>
        <v>10</v>
      </c>
      <c r="D894" s="8" t="s">
        <v>109</v>
      </c>
      <c r="E894" s="7" t="str">
        <f t="shared" si="43"/>
        <v>31</v>
      </c>
    </row>
    <row r="895" spans="1:5" x14ac:dyDescent="0.25">
      <c r="A895" s="9" t="str">
        <f t="shared" si="41"/>
        <v>00 STATUS - PLAYING</v>
      </c>
      <c r="B895" t="s">
        <v>226</v>
      </c>
      <c r="C895" s="7" t="str">
        <f t="shared" si="42"/>
        <v>31</v>
      </c>
      <c r="D895" s="8" t="s">
        <v>109</v>
      </c>
      <c r="E895" s="7" t="str">
        <f t="shared" si="43"/>
        <v>10</v>
      </c>
    </row>
    <row r="896" spans="1:5" x14ac:dyDescent="0.25">
      <c r="A896" s="9" t="str">
        <f t="shared" si="41"/>
        <v>84 REQUEST MORE TEXT FIELDS - SEND MAGAZINE INFO</v>
      </c>
      <c r="B896" t="s">
        <v>198</v>
      </c>
      <c r="C896" s="7" t="str">
        <f t="shared" si="42"/>
        <v>10</v>
      </c>
      <c r="D896" s="8" t="s">
        <v>109</v>
      </c>
      <c r="E896" s="7" t="str">
        <f t="shared" si="43"/>
        <v>31</v>
      </c>
    </row>
    <row r="897" spans="1:5" x14ac:dyDescent="0.25">
      <c r="A897" s="9" t="str">
        <f t="shared" si="41"/>
        <v>01 MASTER REQUEST - TIME POLL</v>
      </c>
      <c r="B897" t="s">
        <v>34</v>
      </c>
      <c r="C897" s="7" t="str">
        <f t="shared" si="42"/>
        <v>10</v>
      </c>
      <c r="D897" s="8" t="s">
        <v>109</v>
      </c>
      <c r="E897" s="7" t="str">
        <f t="shared" si="43"/>
        <v>31</v>
      </c>
    </row>
    <row r="898" spans="1:5" x14ac:dyDescent="0.25">
      <c r="A898" s="9" t="str">
        <f t="shared" si="41"/>
        <v>00 STATUS - PLAYING</v>
      </c>
      <c r="B898" t="s">
        <v>226</v>
      </c>
      <c r="C898" s="7" t="str">
        <f t="shared" si="42"/>
        <v>31</v>
      </c>
      <c r="D898" s="8" t="s">
        <v>109</v>
      </c>
      <c r="E898" s="7" t="str">
        <f t="shared" si="43"/>
        <v>10</v>
      </c>
    </row>
    <row r="899" spans="1:5" x14ac:dyDescent="0.25">
      <c r="A899" s="9" t="str">
        <f t="shared" ref="A899:A929" si="44">ParseUnilink(B899)</f>
        <v>84 REQUEST MORE TEXT FIELDS - SEND DISC INFO</v>
      </c>
      <c r="B899" t="s">
        <v>200</v>
      </c>
      <c r="C899" s="7" t="str">
        <f t="shared" si="42"/>
        <v>10</v>
      </c>
      <c r="D899" s="8" t="s">
        <v>109</v>
      </c>
      <c r="E899" s="7" t="str">
        <f t="shared" si="43"/>
        <v>31</v>
      </c>
    </row>
    <row r="900" spans="1:5" x14ac:dyDescent="0.25">
      <c r="A900" s="9" t="str">
        <f t="shared" si="44"/>
        <v>01 MASTER REQUEST - SLAVE POLL</v>
      </c>
      <c r="B900" t="s">
        <v>18</v>
      </c>
      <c r="C900" s="7" t="str">
        <f t="shared" si="42"/>
        <v>10</v>
      </c>
      <c r="D900" s="8" t="s">
        <v>109</v>
      </c>
      <c r="E900" s="7" t="str">
        <f t="shared" si="43"/>
        <v>31</v>
      </c>
    </row>
    <row r="901" spans="1:5" x14ac:dyDescent="0.25">
      <c r="A901" s="9" t="str">
        <f t="shared" si="44"/>
        <v>01 MASTER REQUEST - SLAVE POLL</v>
      </c>
      <c r="B901" t="s">
        <v>18</v>
      </c>
      <c r="C901" s="7" t="str">
        <f t="shared" si="42"/>
        <v>10</v>
      </c>
      <c r="D901" s="8" t="s">
        <v>109</v>
      </c>
      <c r="E901" s="7" t="str">
        <f t="shared" si="43"/>
        <v>31</v>
      </c>
    </row>
    <row r="902" spans="1:5" x14ac:dyDescent="0.25">
      <c r="A902" s="9" t="str">
        <f t="shared" si="44"/>
        <v>97 DISC INFO - TRACKS: 16, MINS: 79, SECS: 36, DISC: 1</v>
      </c>
      <c r="B902" t="s">
        <v>207</v>
      </c>
      <c r="C902" s="7" t="str">
        <f t="shared" si="42"/>
        <v>31</v>
      </c>
      <c r="D902" s="8" t="s">
        <v>109</v>
      </c>
      <c r="E902" s="7" t="str">
        <f t="shared" si="43"/>
        <v>10</v>
      </c>
    </row>
    <row r="903" spans="1:5" x14ac:dyDescent="0.25">
      <c r="A903" s="9" t="str">
        <f t="shared" si="44"/>
        <v>01 MASTER REQUEST - SLAVE POLL</v>
      </c>
      <c r="B903" t="s">
        <v>18</v>
      </c>
      <c r="C903" s="7" t="str">
        <f t="shared" si="42"/>
        <v>10</v>
      </c>
      <c r="D903" s="8" t="s">
        <v>109</v>
      </c>
      <c r="E903" s="7" t="str">
        <f t="shared" si="43"/>
        <v>31</v>
      </c>
    </row>
    <row r="904" spans="1:5" x14ac:dyDescent="0.25">
      <c r="A904" s="9" t="str">
        <f t="shared" si="44"/>
        <v>90 TIME- TRACK: 01, 00:05, DISC: 1</v>
      </c>
      <c r="B904" t="s">
        <v>229</v>
      </c>
      <c r="C904" s="7" t="str">
        <f t="shared" si="42"/>
        <v>31</v>
      </c>
      <c r="D904" s="8" t="s">
        <v>109</v>
      </c>
      <c r="E904" s="7" t="str">
        <f t="shared" si="43"/>
        <v>70</v>
      </c>
    </row>
    <row r="905" spans="1:5" x14ac:dyDescent="0.25">
      <c r="A905" s="9" t="str">
        <f t="shared" si="44"/>
        <v>01 MASTER REQUEST - SLAVE POLL</v>
      </c>
      <c r="B905" t="s">
        <v>18</v>
      </c>
      <c r="C905" s="7" t="str">
        <f t="shared" si="42"/>
        <v>10</v>
      </c>
      <c r="D905" s="8" t="s">
        <v>109</v>
      </c>
      <c r="E905" s="7" t="str">
        <f t="shared" si="43"/>
        <v>31</v>
      </c>
    </row>
    <row r="906" spans="1:5" x14ac:dyDescent="0.25">
      <c r="A906" s="9" t="str">
        <f t="shared" si="44"/>
        <v>00 STATUS - PLAYING</v>
      </c>
      <c r="B906" t="s">
        <v>226</v>
      </c>
      <c r="C906" s="7" t="str">
        <f t="shared" si="42"/>
        <v>31</v>
      </c>
      <c r="D906" s="8" t="s">
        <v>109</v>
      </c>
      <c r="E906" s="7" t="str">
        <f t="shared" si="43"/>
        <v>10</v>
      </c>
    </row>
    <row r="907" spans="1:5" x14ac:dyDescent="0.25">
      <c r="A907" s="9" t="str">
        <f t="shared" si="44"/>
        <v>84 REQUEST MORE TEXT FIELDS - SEND MAGAZINE INFO</v>
      </c>
      <c r="B907" t="s">
        <v>198</v>
      </c>
      <c r="C907" s="7" t="str">
        <f t="shared" si="42"/>
        <v>10</v>
      </c>
      <c r="D907" s="8" t="s">
        <v>109</v>
      </c>
      <c r="E907" s="7" t="str">
        <f t="shared" si="43"/>
        <v>31</v>
      </c>
    </row>
    <row r="908" spans="1:5" x14ac:dyDescent="0.25">
      <c r="A908" s="9" t="str">
        <f t="shared" si="44"/>
        <v>01 MASTER REQUEST - TIME POLL</v>
      </c>
      <c r="B908" t="s">
        <v>34</v>
      </c>
      <c r="C908" s="7" t="str">
        <f t="shared" si="42"/>
        <v>10</v>
      </c>
      <c r="D908" s="8" t="s">
        <v>109</v>
      </c>
      <c r="E908" s="7" t="str">
        <f t="shared" si="43"/>
        <v>31</v>
      </c>
    </row>
    <row r="909" spans="1:5" x14ac:dyDescent="0.25">
      <c r="A909" s="9" t="str">
        <f t="shared" si="44"/>
        <v>00 STATUS - PLAYING</v>
      </c>
      <c r="B909" t="s">
        <v>226</v>
      </c>
      <c r="C909" s="7" t="str">
        <f t="shared" si="42"/>
        <v>31</v>
      </c>
      <c r="D909" s="8" t="s">
        <v>109</v>
      </c>
      <c r="E909" s="7" t="str">
        <f t="shared" si="43"/>
        <v>10</v>
      </c>
    </row>
    <row r="910" spans="1:5" x14ac:dyDescent="0.25">
      <c r="A910" s="9" t="str">
        <f t="shared" si="44"/>
        <v>01 MASTER REQUEST - SLAVE POLL</v>
      </c>
      <c r="B910" t="s">
        <v>18</v>
      </c>
      <c r="C910" s="7" t="str">
        <f t="shared" si="42"/>
        <v>10</v>
      </c>
      <c r="D910" s="8" t="s">
        <v>109</v>
      </c>
      <c r="E910" s="7" t="str">
        <f t="shared" si="43"/>
        <v>31</v>
      </c>
    </row>
    <row r="911" spans="1:5" x14ac:dyDescent="0.25">
      <c r="A911" s="9" t="str">
        <f t="shared" si="44"/>
        <v>95 MAGAZINE INFO - CD1 YES, CD2 YES, CD3 YES, CD4 NO, CD5 NO, CD6 NO</v>
      </c>
      <c r="B911" t="s">
        <v>216</v>
      </c>
      <c r="C911" s="7" t="str">
        <f t="shared" si="42"/>
        <v>31</v>
      </c>
      <c r="D911" s="8" t="s">
        <v>109</v>
      </c>
      <c r="E911" s="7" t="str">
        <f t="shared" si="43"/>
        <v>10</v>
      </c>
    </row>
    <row r="912" spans="1:5" x14ac:dyDescent="0.25">
      <c r="A912" s="9" t="str">
        <f t="shared" si="44"/>
        <v>01 MASTER REQUEST - SLAVE POLL</v>
      </c>
      <c r="B912" t="s">
        <v>18</v>
      </c>
      <c r="C912" s="7" t="str">
        <f t="shared" si="42"/>
        <v>10</v>
      </c>
      <c r="D912" s="8" t="s">
        <v>109</v>
      </c>
      <c r="E912" s="7" t="str">
        <f t="shared" si="43"/>
        <v>31</v>
      </c>
    </row>
    <row r="913" spans="1:5" x14ac:dyDescent="0.25">
      <c r="A913" s="9" t="str">
        <f t="shared" si="44"/>
        <v>97 DISC INFO - TRACKS: 16, MINS: 79, SECS: 36, DISC: 1</v>
      </c>
      <c r="B913" t="s">
        <v>207</v>
      </c>
      <c r="C913" s="7" t="str">
        <f t="shared" si="42"/>
        <v>31</v>
      </c>
      <c r="D913" s="8" t="s">
        <v>109</v>
      </c>
      <c r="E913" s="7" t="str">
        <f t="shared" si="43"/>
        <v>10</v>
      </c>
    </row>
    <row r="914" spans="1:5" x14ac:dyDescent="0.25">
      <c r="A914" s="9" t="str">
        <f t="shared" si="44"/>
        <v>01 MASTER REQUEST - SLAVE POLL</v>
      </c>
      <c r="B914" t="s">
        <v>18</v>
      </c>
      <c r="C914" s="7" t="str">
        <f t="shared" si="42"/>
        <v>10</v>
      </c>
      <c r="D914" s="8" t="s">
        <v>109</v>
      </c>
      <c r="E914" s="7" t="str">
        <f t="shared" si="43"/>
        <v>31</v>
      </c>
    </row>
    <row r="915" spans="1:5" x14ac:dyDescent="0.25">
      <c r="A915" s="9" t="str">
        <f t="shared" si="44"/>
        <v>90 TIME- TRACK: 01, 00:06, DISC: 1</v>
      </c>
      <c r="B915" t="s">
        <v>230</v>
      </c>
      <c r="C915" s="7" t="str">
        <f t="shared" si="42"/>
        <v>31</v>
      </c>
      <c r="D915" s="8" t="s">
        <v>109</v>
      </c>
      <c r="E915" s="7" t="str">
        <f t="shared" si="43"/>
        <v>70</v>
      </c>
    </row>
    <row r="916" spans="1:5" x14ac:dyDescent="0.25">
      <c r="A916" s="9" t="str">
        <f t="shared" si="44"/>
        <v>01 MASTER REQUEST - SLAVE POLL</v>
      </c>
      <c r="B916" t="s">
        <v>18</v>
      </c>
      <c r="C916" s="7" t="str">
        <f t="shared" si="42"/>
        <v>10</v>
      </c>
      <c r="D916" s="8" t="s">
        <v>109</v>
      </c>
      <c r="E916" s="7" t="str">
        <f t="shared" si="43"/>
        <v>31</v>
      </c>
    </row>
    <row r="917" spans="1:5" x14ac:dyDescent="0.25">
      <c r="A917" s="9" t="str">
        <f t="shared" si="44"/>
        <v>00 STATUS - PLAYING</v>
      </c>
      <c r="B917" t="s">
        <v>226</v>
      </c>
      <c r="C917" s="7" t="str">
        <f t="shared" si="42"/>
        <v>31</v>
      </c>
      <c r="D917" s="8" t="s">
        <v>109</v>
      </c>
      <c r="E917" s="7" t="str">
        <f t="shared" si="43"/>
        <v>10</v>
      </c>
    </row>
    <row r="918" spans="1:5" x14ac:dyDescent="0.25">
      <c r="A918" s="9" t="str">
        <f t="shared" si="44"/>
        <v>84 REQUEST MORE TEXT FIELDS - SEND MAGAZINE INFO</v>
      </c>
      <c r="B918" t="s">
        <v>198</v>
      </c>
      <c r="C918" s="7" t="str">
        <f t="shared" si="42"/>
        <v>10</v>
      </c>
      <c r="D918" s="8" t="s">
        <v>109</v>
      </c>
      <c r="E918" s="7" t="str">
        <f t="shared" si="43"/>
        <v>31</v>
      </c>
    </row>
    <row r="919" spans="1:5" x14ac:dyDescent="0.25">
      <c r="A919" s="9" t="str">
        <f t="shared" si="44"/>
        <v>01 MASTER REQUEST - TIME POLL</v>
      </c>
      <c r="B919" t="s">
        <v>34</v>
      </c>
      <c r="C919" s="7" t="str">
        <f t="shared" si="42"/>
        <v>10</v>
      </c>
      <c r="D919" s="8" t="s">
        <v>109</v>
      </c>
      <c r="E919" s="7" t="str">
        <f t="shared" si="43"/>
        <v>31</v>
      </c>
    </row>
    <row r="920" spans="1:5" x14ac:dyDescent="0.25">
      <c r="A920" s="9" t="str">
        <f t="shared" si="44"/>
        <v>00 STATUS - PLAYING</v>
      </c>
      <c r="B920" t="s">
        <v>226</v>
      </c>
      <c r="C920" s="7" t="str">
        <f t="shared" si="42"/>
        <v>31</v>
      </c>
      <c r="D920" s="8" t="s">
        <v>109</v>
      </c>
      <c r="E920" s="7" t="str">
        <f t="shared" si="43"/>
        <v>10</v>
      </c>
    </row>
    <row r="921" spans="1:5" x14ac:dyDescent="0.25">
      <c r="A921" s="9" t="str">
        <f t="shared" si="44"/>
        <v>84 REQUEST MORE TEXT FIELDS - SEND DISC INFO</v>
      </c>
      <c r="B921" t="s">
        <v>200</v>
      </c>
      <c r="C921" s="7" t="str">
        <f t="shared" si="42"/>
        <v>10</v>
      </c>
      <c r="D921" s="8" t="s">
        <v>109</v>
      </c>
      <c r="E921" s="7" t="str">
        <f t="shared" si="43"/>
        <v>31</v>
      </c>
    </row>
    <row r="922" spans="1:5" x14ac:dyDescent="0.25">
      <c r="A922" s="9" t="str">
        <f t="shared" si="44"/>
        <v>01 MASTER REQUEST - SLAVE POLL</v>
      </c>
      <c r="B922" t="s">
        <v>18</v>
      </c>
      <c r="C922" s="7" t="str">
        <f t="shared" si="42"/>
        <v>10</v>
      </c>
      <c r="D922" s="8" t="s">
        <v>109</v>
      </c>
      <c r="E922" s="7" t="str">
        <f t="shared" si="43"/>
        <v>31</v>
      </c>
    </row>
    <row r="923" spans="1:5" x14ac:dyDescent="0.25">
      <c r="A923" s="9" t="str">
        <f t="shared" si="44"/>
        <v>95 MAGAZINE INFO - CD1 YES, CD2 YES, CD3 YES, CD4 NO, CD5 NO, CD6 NO</v>
      </c>
      <c r="B923" t="s">
        <v>216</v>
      </c>
      <c r="C923" s="7" t="str">
        <f t="shared" si="42"/>
        <v>31</v>
      </c>
      <c r="D923" s="8" t="s">
        <v>109</v>
      </c>
      <c r="E923" s="7" t="str">
        <f t="shared" si="43"/>
        <v>10</v>
      </c>
    </row>
    <row r="924" spans="1:5" x14ac:dyDescent="0.25">
      <c r="A924" s="9" t="str">
        <f t="shared" si="44"/>
        <v>01 MASTER REQUEST - SLAVE POLL</v>
      </c>
      <c r="B924" t="s">
        <v>18</v>
      </c>
      <c r="C924" s="7" t="str">
        <f t="shared" si="42"/>
        <v>10</v>
      </c>
      <c r="D924" s="8" t="s">
        <v>109</v>
      </c>
      <c r="E924" s="7" t="str">
        <f t="shared" si="43"/>
        <v>31</v>
      </c>
    </row>
    <row r="925" spans="1:5" x14ac:dyDescent="0.25">
      <c r="A925" s="9" t="str">
        <f t="shared" si="44"/>
        <v>97 DISC INFO - TRACKS: 16, MINS: 79, SECS: 36, DISC: 1</v>
      </c>
      <c r="B925" t="s">
        <v>207</v>
      </c>
      <c r="C925" s="7" t="str">
        <f t="shared" si="42"/>
        <v>31</v>
      </c>
      <c r="D925" s="8" t="s">
        <v>109</v>
      </c>
      <c r="E925" s="7" t="str">
        <f t="shared" si="43"/>
        <v>10</v>
      </c>
    </row>
    <row r="926" spans="1:5" x14ac:dyDescent="0.25">
      <c r="A926" s="9" t="str">
        <f t="shared" si="44"/>
        <v>01 MASTER REQUEST - SLAVE POLL</v>
      </c>
      <c r="B926" t="s">
        <v>18</v>
      </c>
      <c r="C926" s="7" t="str">
        <f t="shared" si="42"/>
        <v>10</v>
      </c>
      <c r="D926" s="8" t="s">
        <v>109</v>
      </c>
      <c r="E926" s="7" t="str">
        <f t="shared" si="43"/>
        <v>31</v>
      </c>
    </row>
    <row r="927" spans="1:5" x14ac:dyDescent="0.25">
      <c r="A927" s="9" t="str">
        <f t="shared" si="44"/>
        <v>90 TIME- TRACK: 01, 00:07, DISC: 1</v>
      </c>
      <c r="B927" t="s">
        <v>231</v>
      </c>
      <c r="C927" s="7" t="str">
        <f t="shared" si="42"/>
        <v>31</v>
      </c>
      <c r="D927" s="8" t="s">
        <v>109</v>
      </c>
      <c r="E927" s="7" t="str">
        <f t="shared" si="43"/>
        <v>70</v>
      </c>
    </row>
    <row r="928" spans="1:5" x14ac:dyDescent="0.25">
      <c r="A928" s="9" t="str">
        <f t="shared" si="44"/>
        <v>01 MASTER REQUEST - SLAVE POLL</v>
      </c>
      <c r="B928" t="s">
        <v>18</v>
      </c>
      <c r="C928" s="7" t="str">
        <f t="shared" si="42"/>
        <v>10</v>
      </c>
      <c r="D928" s="8" t="s">
        <v>109</v>
      </c>
      <c r="E928" s="7" t="str">
        <f t="shared" si="43"/>
        <v>31</v>
      </c>
    </row>
    <row r="929" spans="1:5" x14ac:dyDescent="0.25">
      <c r="A929" s="9" t="str">
        <f t="shared" si="44"/>
        <v>00 STATUS - PLAYING</v>
      </c>
      <c r="B929" t="s">
        <v>226</v>
      </c>
      <c r="C929" s="7" t="str">
        <f t="shared" si="42"/>
        <v>31</v>
      </c>
      <c r="D929" s="8" t="s">
        <v>109</v>
      </c>
      <c r="E929" s="7" t="str">
        <f t="shared" si="43"/>
        <v>10</v>
      </c>
    </row>
  </sheetData>
  <conditionalFormatting sqref="A2:A929">
    <cfRule type="expression" dxfId="45" priority="3">
      <formula>AND(EXACT($A$1,"01"),EXACT(MID(B2,7,5),"01 02"))</formula>
    </cfRule>
    <cfRule type="expression" dxfId="44" priority="4">
      <formula>AND(EXACT($A$1,"01"),EXACT(MID(B2,7,5),"01 00"))</formula>
    </cfRule>
    <cfRule type="expression" dxfId="37" priority="5">
      <formula>EXACT(UPPER($A$1),UPPER(MID(B2,7,2)))</formula>
    </cfRule>
  </conditionalFormatting>
  <conditionalFormatting sqref="C2:C929 E2:E929">
    <cfRule type="expression" dxfId="43" priority="2">
      <formula>GESTEP(HEX2DEC($E2),70)</formula>
    </cfRule>
  </conditionalFormatting>
  <conditionalFormatting sqref="D2:D929">
    <cfRule type="expression" dxfId="42" priority="1">
      <formula>GESTEP(HEX2DEC($E2),70)</formula>
    </cfRule>
  </conditionalFormatting>
  <conditionalFormatting sqref="B2:B929">
    <cfRule type="expression" dxfId="41" priority="6">
      <formula>EXACT(MID(B2,4,2),"31")</formula>
    </cfRule>
    <cfRule type="expression" dxfId="40" priority="7">
      <formula>EXACT(MID(B2,4,2),"30")</formula>
    </cfRule>
    <cfRule type="expression" dxfId="39" priority="8">
      <formula>EXACT(MID(B2,4,2),"10")</formula>
    </cfRule>
    <cfRule type="expression" dxfId="38" priority="9">
      <formula>EXACT(MID(B2,4,2),"11")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Refresh_button_Click">
                <anchor mov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752475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9</vt:i4>
      </vt:variant>
    </vt:vector>
  </HeadingPairs>
  <TitlesOfParts>
    <vt:vector size="9" baseType="lpstr">
      <vt:lpstr>xCARLINK power-on</vt:lpstr>
      <vt:lpstr>xCARLINK changing</vt:lpstr>
      <vt:lpstr>Original power-on</vt:lpstr>
      <vt:lpstr>Original switch to CD</vt:lpstr>
      <vt:lpstr>Original Switch CD1-&gt;CD2</vt:lpstr>
      <vt:lpstr>Original Switch CD2-&gt;CD3 empty</vt:lpstr>
      <vt:lpstr>Original magazine out</vt:lpstr>
      <vt:lpstr>Original magazine in</vt:lpstr>
      <vt:lpstr>Original old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David2</dc:creator>
  <cp:lastModifiedBy>David</cp:lastModifiedBy>
  <dcterms:created xsi:type="dcterms:W3CDTF">2020-07-05T18:20:11Z</dcterms:created>
  <dcterms:modified xsi:type="dcterms:W3CDTF">2024-12-28T03:58:12Z</dcterms:modified>
</cp:coreProperties>
</file>